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vinujames_bluedart_com/Documents/Desktop/Vinu/B2B/Quotations/"/>
    </mc:Choice>
  </mc:AlternateContent>
  <xr:revisionPtr revIDLastSave="0" documentId="8_{0AB28F55-F957-4B80-9D8D-0334388D0D07}" xr6:coauthVersionLast="47" xr6:coauthVersionMax="47" xr10:uidLastSave="{00000000-0000-0000-0000-000000000000}"/>
  <bookViews>
    <workbookView xWindow="-108" yWindow="-108" windowWidth="23256" windowHeight="12456" xr2:uid="{AD999DF6-155B-44DA-9C98-11ECE79EB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 s="1"/>
  <c r="M3" i="1"/>
  <c r="M6" i="1" s="1"/>
  <c r="L3" i="1"/>
  <c r="L6" i="1" s="1"/>
  <c r="K3" i="1"/>
  <c r="J3" i="1"/>
  <c r="J6" i="1" s="1"/>
  <c r="I3" i="1"/>
  <c r="I6" i="1" s="1"/>
  <c r="I7" i="1" l="1"/>
  <c r="I8" i="1" s="1"/>
  <c r="J7" i="1"/>
  <c r="J8" i="1" s="1"/>
  <c r="L7" i="1"/>
  <c r="L8" i="1" s="1"/>
  <c r="M7" i="1"/>
  <c r="M8" i="1" s="1"/>
  <c r="K8" i="1"/>
  <c r="L9" i="1" l="1"/>
  <c r="L10" i="1" s="1"/>
  <c r="I9" i="1"/>
  <c r="I10" i="1"/>
  <c r="M10" i="1"/>
  <c r="M9" i="1"/>
  <c r="J9" i="1"/>
  <c r="J10" i="1"/>
  <c r="K9" i="1"/>
  <c r="K10" i="1" s="1"/>
</calcChain>
</file>

<file path=xl/sharedStrings.xml><?xml version="1.0" encoding="utf-8"?>
<sst xmlns="http://schemas.openxmlformats.org/spreadsheetml/2006/main" count="98" uniqueCount="97">
  <si>
    <t xml:space="preserve">Surface </t>
  </si>
  <si>
    <t>Rate Calculation for 100KG</t>
  </si>
  <si>
    <t>Zoning</t>
  </si>
  <si>
    <t>Zone 1</t>
  </si>
  <si>
    <t>Zone 2</t>
  </si>
  <si>
    <t>Zone 3</t>
  </si>
  <si>
    <t>Zone 4</t>
  </si>
  <si>
    <t>Zone 5</t>
  </si>
  <si>
    <t>South</t>
  </si>
  <si>
    <t>West</t>
  </si>
  <si>
    <t>North</t>
  </si>
  <si>
    <t>East</t>
  </si>
  <si>
    <t>JK/NE</t>
  </si>
  <si>
    <t>Base Rate per kg</t>
  </si>
  <si>
    <t>Basic Fright</t>
  </si>
  <si>
    <t>Minimum Chargeable Weight</t>
  </si>
  <si>
    <t>10 kgs</t>
  </si>
  <si>
    <t xml:space="preserve">Docket Charge </t>
  </si>
  <si>
    <t>Minimum chargeable: Rs 160/- ( FS , CAF, Docket Fee additional)</t>
  </si>
  <si>
    <t>FOV</t>
  </si>
  <si>
    <t>Fixed Charges &amp; Surcharges</t>
  </si>
  <si>
    <t>Volume Weight Calculation</t>
  </si>
  <si>
    <t>(L*B*H)/27000]cm*CFT, CFT = 6 KG</t>
  </si>
  <si>
    <t>Fuel Surcharge</t>
  </si>
  <si>
    <t>Peak Season Surcharge (From September to December)</t>
  </si>
  <si>
    <t>Fuel Surcharge (FS)</t>
  </si>
  <si>
    <t>FS 37% as on April  2026 (Minus 10%) (Sliding Mechanism)</t>
  </si>
  <si>
    <t>EFSS @ 7%</t>
  </si>
  <si>
    <t>Currency Adjustment Factor (CAF)</t>
  </si>
  <si>
    <t>Nil</t>
  </si>
  <si>
    <t>Total</t>
  </si>
  <si>
    <t>Docket Fee</t>
  </si>
  <si>
    <t>Rs 100</t>
  </si>
  <si>
    <t>Elevated Freight Stability Surcharge (EFSS)</t>
  </si>
  <si>
    <t>Value Added Services (Additional to Rates and Surcharges)</t>
  </si>
  <si>
    <t>Remote Area Surcharge (RAS) Only for Bihar, Jharkhand, Kerala , Jammu , Kashmir &amp; Ladakh</t>
  </si>
  <si>
    <t>Rs 3/kg</t>
  </si>
  <si>
    <t xml:space="preserve">FOV (as % of cargo value) per AWB </t>
  </si>
  <si>
    <t>Min Rs 90 or 0.05% of invoice value (whichever is higher)</t>
  </si>
  <si>
    <t xml:space="preserve">a.Owner's Risk </t>
  </si>
  <si>
    <t>OS/OW ( for each piece/shipment consignment)</t>
  </si>
  <si>
    <t>&lt;=32 kg : Nil 33 to 70 Kg : 100, 71 to 200Kg : 300,201 to 700 kg : 3500</t>
  </si>
  <si>
    <t>To Pay charges (per AWB)</t>
  </si>
  <si>
    <t>Rs 70</t>
  </si>
  <si>
    <t>Demurrage (After 5 days of arrival) per AWB</t>
  </si>
  <si>
    <t>Min Rs 100 or Rs 2.5/kg/day (whichever is higher)</t>
  </si>
  <si>
    <t>Environment Compensation Charge (ECC) - For every shipment delivered into Delhi, booked from Delhi &amp; transiting through Delhi (per AWB)</t>
  </si>
  <si>
    <t>125Rs/ Shipment</t>
  </si>
  <si>
    <t>Valuable Cargo Handling Charge (VCHC) (as % of declared value exceeding ` 10,000/- per kg based on actual weight)</t>
  </si>
  <si>
    <t>Zero till 50k limit post which VCHC will apply, Charges - Min Rs 400 or 0.5% of invoice value, (whichever is higher)</t>
  </si>
  <si>
    <t>Special Handling Charges, (For every shipment delivered into Maharashtra)</t>
  </si>
  <si>
    <t>Rs 1/Kg</t>
  </si>
  <si>
    <t>Delivery by appointment/ SEZ /Special delivery</t>
  </si>
  <si>
    <t>Rs 300 or Rs 2 Per Kg whichever is higher</t>
  </si>
  <si>
    <t>Acknowledgement of Delivery Challan (per AWB)</t>
  </si>
  <si>
    <t>Rs 150</t>
  </si>
  <si>
    <t xml:space="preserve">Freight on Delivery (FOD) </t>
  </si>
  <si>
    <t xml:space="preserve">a. Upto 100Kg </t>
  </si>
  <si>
    <t>Rs 110</t>
  </si>
  <si>
    <t>b. Above 100Kgs</t>
  </si>
  <si>
    <t>Rs 280</t>
  </si>
  <si>
    <t>Draft On Delivery (DOD) (as % of cargo value per AWB)</t>
  </si>
  <si>
    <t>Min Rs 220 or 0.5% of invoice value (whichever is higher)</t>
  </si>
  <si>
    <t>Dangerous goods</t>
  </si>
  <si>
    <t>ATA - Min Rs 3000 or Rs 90/kg</t>
  </si>
  <si>
    <t>DTD - Min Rs 4000 or Rs 100/kg</t>
  </si>
  <si>
    <t>Partial Delivery Charges</t>
  </si>
  <si>
    <t>Rs 800 upto 200Kgs</t>
  </si>
  <si>
    <t>Rs 4 per additional kg</t>
  </si>
  <si>
    <t>RTO Billing will be done at the contractual rates</t>
  </si>
  <si>
    <t>Extra Delivery Location (EDL) Rate Matrix</t>
  </si>
  <si>
    <t>Distance in KMs</t>
  </si>
  <si>
    <t>0-100 Kgs</t>
  </si>
  <si>
    <t>101 -250 Kgs</t>
  </si>
  <si>
    <t>251- 500 Kgs</t>
  </si>
  <si>
    <t>501-1000 Kgs</t>
  </si>
  <si>
    <t>1001-1500 Kgs</t>
  </si>
  <si>
    <t>20-50 Kms</t>
  </si>
  <si>
    <t>51-100 Kms</t>
  </si>
  <si>
    <t>101-150 Kms</t>
  </si>
  <si>
    <t>151-200 Kms</t>
  </si>
  <si>
    <t>201 -250 Kms</t>
  </si>
  <si>
    <t>250 - 300 Kms</t>
  </si>
  <si>
    <t>300 - 350 Kms</t>
  </si>
  <si>
    <t>350 - 400 Kms</t>
  </si>
  <si>
    <t>400 - 450 Kms</t>
  </si>
  <si>
    <t>450 - 500 Kms</t>
  </si>
  <si>
    <t>Note</t>
  </si>
  <si>
    <t>1. EDL charges are chargeable for delivery to the areas outside Blue Dart's coverage Area</t>
  </si>
  <si>
    <t>2. EDL charges are in addition to freight charges</t>
  </si>
  <si>
    <t>3. Shipments which are beyond 500 Kms would be charged at 14 Rs / Km and beyond 1500 kgs would be charged at Rs 5.00 /kg whichever is higher</t>
  </si>
  <si>
    <t>4. For locations in J&amp;K and North-East applicable EDL charges will be Rs 15/kg or Rs 3000 which ever is higher</t>
  </si>
  <si>
    <t>5. Fuel Surcharge will be extra , as applicable .</t>
  </si>
  <si>
    <t>6. Applicable Distance would be from the nearest hub.</t>
  </si>
  <si>
    <t>GST with Cess (to be charged on all freight charges, other charges &amp; value-added services) as per the applicable rates.</t>
  </si>
  <si>
    <t>*Taxes extra as applicable</t>
  </si>
  <si>
    <t>*The commercials are in scope of annual GPI and PSS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</si>
</sst>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ED5C-3D05-4021-B1E7-22629EEAD309}">
  <dimension ref="A1:M53"/>
  <sheetViews>
    <sheetView tabSelected="1" workbookViewId="0">
      <selection activeCell="J44" sqref="J44"/>
    </sheetView>
  </sheetViews>
  <sheetFormatPr defaultRowHeight="14.4" x14ac:dyDescent="0.3"/>
  <cols>
    <col min="1" max="1" width="44.77734375" customWidth="1"/>
    <col min="2" max="2" width="14.5546875" customWidth="1"/>
    <col min="3" max="3" width="15.5546875" customWidth="1"/>
    <col min="4" max="4" width="11.88671875" customWidth="1"/>
    <col min="5" max="5" width="14.109375" customWidth="1"/>
    <col min="6" max="6" width="14.33203125" customWidth="1"/>
    <col min="8" max="8" width="19.88671875" customWidth="1"/>
    <col min="9" max="9" width="11.88671875" customWidth="1"/>
    <col min="10" max="10" width="10.6640625" customWidth="1"/>
  </cols>
  <sheetData>
    <row r="1" spans="1:13" x14ac:dyDescent="0.3">
      <c r="A1" s="1" t="s">
        <v>0</v>
      </c>
      <c r="B1" s="2"/>
      <c r="C1" s="2"/>
      <c r="D1" s="2"/>
      <c r="E1" s="2"/>
      <c r="F1" s="3"/>
      <c r="H1" s="4" t="s">
        <v>1</v>
      </c>
      <c r="I1" s="4"/>
      <c r="J1" s="4"/>
      <c r="K1" s="4"/>
      <c r="L1" s="4"/>
      <c r="M1" s="4"/>
    </row>
    <row r="2" spans="1:13" x14ac:dyDescent="0.3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H2" s="7" t="s">
        <v>2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</row>
    <row r="3" spans="1:13" x14ac:dyDescent="0.3">
      <c r="A3" s="8" t="s">
        <v>13</v>
      </c>
      <c r="B3" s="8">
        <v>8</v>
      </c>
      <c r="C3" s="8">
        <v>9</v>
      </c>
      <c r="D3" s="8">
        <v>11</v>
      </c>
      <c r="E3" s="8">
        <v>12</v>
      </c>
      <c r="F3" s="8">
        <v>19</v>
      </c>
      <c r="H3" s="7" t="s">
        <v>14</v>
      </c>
      <c r="I3" s="7">
        <f>B3*100</f>
        <v>800</v>
      </c>
      <c r="J3" s="7">
        <f>C3*100</f>
        <v>900</v>
      </c>
      <c r="K3" s="7">
        <f>D3*100</f>
        <v>1100</v>
      </c>
      <c r="L3" s="7">
        <f>E3*100</f>
        <v>1200</v>
      </c>
      <c r="M3" s="7">
        <f>F3*100</f>
        <v>1900</v>
      </c>
    </row>
    <row r="4" spans="1:13" x14ac:dyDescent="0.3">
      <c r="A4" s="8" t="s">
        <v>15</v>
      </c>
      <c r="B4" s="1" t="s">
        <v>16</v>
      </c>
      <c r="C4" s="2"/>
      <c r="D4" s="2"/>
      <c r="E4" s="2"/>
      <c r="F4" s="3"/>
      <c r="H4" s="7" t="s">
        <v>17</v>
      </c>
      <c r="I4" s="7">
        <v>100</v>
      </c>
      <c r="J4" s="7">
        <v>100</v>
      </c>
      <c r="K4" s="7">
        <v>100</v>
      </c>
      <c r="L4" s="7">
        <v>100</v>
      </c>
      <c r="M4" s="7">
        <v>100</v>
      </c>
    </row>
    <row r="5" spans="1:13" x14ac:dyDescent="0.3">
      <c r="A5" s="9" t="s">
        <v>18</v>
      </c>
      <c r="B5" s="9"/>
      <c r="C5" s="9"/>
      <c r="D5" s="9"/>
      <c r="E5" s="9"/>
      <c r="F5" s="9"/>
      <c r="H5" s="7" t="s">
        <v>19</v>
      </c>
      <c r="I5" s="7">
        <v>90</v>
      </c>
      <c r="J5" s="7">
        <v>90</v>
      </c>
      <c r="K5" s="7">
        <v>90</v>
      </c>
      <c r="L5" s="7">
        <v>90</v>
      </c>
      <c r="M5" s="7">
        <v>90</v>
      </c>
    </row>
    <row r="6" spans="1:13" x14ac:dyDescent="0.3">
      <c r="A6" s="10" t="s">
        <v>20</v>
      </c>
      <c r="B6" s="11"/>
      <c r="C6" s="11"/>
      <c r="D6" s="11"/>
      <c r="E6" s="11"/>
      <c r="F6" s="12"/>
      <c r="H6" s="7"/>
      <c r="I6" s="7">
        <f>SUM(I3:I5)</f>
        <v>990</v>
      </c>
      <c r="J6" s="7">
        <f>SUM(J3:J5)</f>
        <v>1090</v>
      </c>
      <c r="K6" s="7">
        <f>SUM(K3:K5)</f>
        <v>1290</v>
      </c>
      <c r="L6" s="7">
        <f>SUM(L3:L5)</f>
        <v>1390</v>
      </c>
      <c r="M6" s="7">
        <f>SUM(M3:M5)</f>
        <v>2090</v>
      </c>
    </row>
    <row r="7" spans="1:13" x14ac:dyDescent="0.3">
      <c r="A7" s="8" t="s">
        <v>21</v>
      </c>
      <c r="B7" s="1" t="s">
        <v>22</v>
      </c>
      <c r="C7" s="2"/>
      <c r="D7" s="2"/>
      <c r="E7" s="2"/>
      <c r="F7" s="3"/>
      <c r="H7" s="7" t="s">
        <v>23</v>
      </c>
      <c r="I7" s="13">
        <f>I6*27%</f>
        <v>267.3</v>
      </c>
      <c r="J7" s="13">
        <f t="shared" ref="J7:M7" si="0">J6*27%</f>
        <v>294.3</v>
      </c>
      <c r="K7" s="13">
        <f t="shared" si="0"/>
        <v>348.3</v>
      </c>
      <c r="L7" s="13">
        <f t="shared" si="0"/>
        <v>375.3</v>
      </c>
      <c r="M7" s="13">
        <f t="shared" si="0"/>
        <v>564.30000000000007</v>
      </c>
    </row>
    <row r="8" spans="1:13" x14ac:dyDescent="0.3">
      <c r="A8" s="8" t="s">
        <v>24</v>
      </c>
      <c r="B8" s="14">
        <v>0.03</v>
      </c>
      <c r="C8" s="15"/>
      <c r="D8" s="15"/>
      <c r="E8" s="15"/>
      <c r="F8" s="16"/>
      <c r="H8" s="17"/>
      <c r="I8" s="18">
        <f>I6+I7</f>
        <v>1257.3</v>
      </c>
      <c r="J8" s="18">
        <f t="shared" ref="J8:M8" si="1">J6+J7</f>
        <v>1384.3</v>
      </c>
      <c r="K8" s="18">
        <f t="shared" si="1"/>
        <v>1638.3</v>
      </c>
      <c r="L8" s="18">
        <f t="shared" si="1"/>
        <v>1765.3</v>
      </c>
      <c r="M8" s="18">
        <f t="shared" si="1"/>
        <v>2654.3</v>
      </c>
    </row>
    <row r="9" spans="1:13" x14ac:dyDescent="0.3">
      <c r="A9" s="8" t="s">
        <v>25</v>
      </c>
      <c r="B9" s="9" t="s">
        <v>26</v>
      </c>
      <c r="C9" s="9"/>
      <c r="D9" s="9"/>
      <c r="E9" s="9"/>
      <c r="F9" s="9"/>
      <c r="H9" s="7" t="s">
        <v>27</v>
      </c>
      <c r="I9" s="17">
        <f>I8*7%</f>
        <v>88.01100000000001</v>
      </c>
      <c r="J9" s="17">
        <f t="shared" ref="J9:M9" si="2">J8*7%</f>
        <v>96.90100000000001</v>
      </c>
      <c r="K9" s="17">
        <f t="shared" si="2"/>
        <v>114.68100000000001</v>
      </c>
      <c r="L9" s="17">
        <f t="shared" si="2"/>
        <v>123.57100000000001</v>
      </c>
      <c r="M9" s="17">
        <f t="shared" si="2"/>
        <v>185.80100000000004</v>
      </c>
    </row>
    <row r="10" spans="1:13" x14ac:dyDescent="0.3">
      <c r="A10" s="8" t="s">
        <v>28</v>
      </c>
      <c r="B10" s="9" t="s">
        <v>29</v>
      </c>
      <c r="C10" s="9"/>
      <c r="D10" s="9"/>
      <c r="E10" s="9"/>
      <c r="F10" s="9"/>
      <c r="H10" s="19" t="s">
        <v>30</v>
      </c>
      <c r="I10" s="20">
        <f>I8+I9</f>
        <v>1345.3109999999999</v>
      </c>
      <c r="J10" s="20">
        <f t="shared" ref="J10:M10" si="3">J8+J9</f>
        <v>1481.201</v>
      </c>
      <c r="K10" s="20">
        <f t="shared" si="3"/>
        <v>1752.981</v>
      </c>
      <c r="L10" s="20">
        <f t="shared" si="3"/>
        <v>1888.8709999999999</v>
      </c>
      <c r="M10" s="20">
        <f t="shared" si="3"/>
        <v>2840.1010000000001</v>
      </c>
    </row>
    <row r="11" spans="1:13" x14ac:dyDescent="0.3">
      <c r="A11" s="8" t="s">
        <v>31</v>
      </c>
      <c r="B11" s="1" t="s">
        <v>32</v>
      </c>
      <c r="C11" s="2"/>
      <c r="D11" s="2"/>
      <c r="E11" s="2"/>
      <c r="F11" s="3"/>
    </row>
    <row r="12" spans="1:13" x14ac:dyDescent="0.3">
      <c r="A12" s="21" t="s">
        <v>33</v>
      </c>
      <c r="B12" s="15">
        <v>7.0000000000000007E-2</v>
      </c>
      <c r="C12" s="2"/>
      <c r="D12" s="2"/>
      <c r="E12" s="2"/>
      <c r="F12" s="3"/>
    </row>
    <row r="13" spans="1:13" x14ac:dyDescent="0.3">
      <c r="A13" s="10" t="s">
        <v>34</v>
      </c>
      <c r="B13" s="11"/>
      <c r="C13" s="11"/>
      <c r="D13" s="11"/>
      <c r="E13" s="11"/>
      <c r="F13" s="12"/>
    </row>
    <row r="14" spans="1:13" ht="24.6" x14ac:dyDescent="0.3">
      <c r="A14" s="22" t="s">
        <v>35</v>
      </c>
      <c r="B14" s="1" t="s">
        <v>36</v>
      </c>
      <c r="C14" s="2"/>
      <c r="D14" s="2"/>
      <c r="E14" s="2"/>
      <c r="F14" s="3"/>
    </row>
    <row r="15" spans="1:13" x14ac:dyDescent="0.3">
      <c r="A15" s="23" t="s">
        <v>37</v>
      </c>
      <c r="B15" s="24" t="s">
        <v>38</v>
      </c>
      <c r="C15" s="25"/>
      <c r="D15" s="25"/>
      <c r="E15" s="25"/>
      <c r="F15" s="26"/>
    </row>
    <row r="16" spans="1:13" x14ac:dyDescent="0.3">
      <c r="A16" s="23" t="s">
        <v>39</v>
      </c>
      <c r="B16" s="27"/>
      <c r="C16" s="28"/>
      <c r="D16" s="28"/>
      <c r="E16" s="28"/>
      <c r="F16" s="29"/>
    </row>
    <row r="17" spans="1:6" x14ac:dyDescent="0.3">
      <c r="A17" s="8" t="s">
        <v>40</v>
      </c>
      <c r="B17" s="30" t="s">
        <v>41</v>
      </c>
      <c r="C17" s="30"/>
      <c r="D17" s="30"/>
      <c r="E17" s="30"/>
      <c r="F17" s="30"/>
    </row>
    <row r="18" spans="1:6" x14ac:dyDescent="0.3">
      <c r="A18" s="8" t="s">
        <v>42</v>
      </c>
      <c r="B18" s="1" t="s">
        <v>43</v>
      </c>
      <c r="C18" s="2"/>
      <c r="D18" s="2"/>
      <c r="E18" s="2"/>
      <c r="F18" s="3"/>
    </row>
    <row r="19" spans="1:6" x14ac:dyDescent="0.3">
      <c r="A19" s="8" t="s">
        <v>44</v>
      </c>
      <c r="B19" s="1" t="s">
        <v>45</v>
      </c>
      <c r="C19" s="2"/>
      <c r="D19" s="2"/>
      <c r="E19" s="2"/>
      <c r="F19" s="3"/>
    </row>
    <row r="20" spans="1:6" ht="36.6" x14ac:dyDescent="0.3">
      <c r="A20" s="22" t="s">
        <v>46</v>
      </c>
      <c r="B20" s="31" t="s">
        <v>47</v>
      </c>
      <c r="C20" s="31"/>
      <c r="D20" s="31"/>
      <c r="E20" s="31"/>
      <c r="F20" s="31"/>
    </row>
    <row r="21" spans="1:6" ht="24" x14ac:dyDescent="0.3">
      <c r="A21" s="32" t="s">
        <v>48</v>
      </c>
      <c r="B21" s="33" t="s">
        <v>49</v>
      </c>
      <c r="C21" s="34"/>
      <c r="D21" s="34"/>
      <c r="E21" s="34"/>
      <c r="F21" s="35"/>
    </row>
    <row r="22" spans="1:6" ht="24.6" x14ac:dyDescent="0.3">
      <c r="A22" s="22" t="s">
        <v>50</v>
      </c>
      <c r="B22" s="1" t="s">
        <v>51</v>
      </c>
      <c r="C22" s="2"/>
      <c r="D22" s="2"/>
      <c r="E22" s="2"/>
      <c r="F22" s="3"/>
    </row>
    <row r="23" spans="1:6" x14ac:dyDescent="0.3">
      <c r="A23" s="8" t="s">
        <v>52</v>
      </c>
      <c r="B23" s="1" t="s">
        <v>53</v>
      </c>
      <c r="C23" s="2"/>
      <c r="D23" s="2"/>
      <c r="E23" s="2"/>
      <c r="F23" s="3"/>
    </row>
    <row r="24" spans="1:6" x14ac:dyDescent="0.3">
      <c r="A24" s="8" t="s">
        <v>54</v>
      </c>
      <c r="B24" s="9" t="s">
        <v>55</v>
      </c>
      <c r="C24" s="9"/>
      <c r="D24" s="9"/>
      <c r="E24" s="9"/>
      <c r="F24" s="9"/>
    </row>
    <row r="25" spans="1:6" x14ac:dyDescent="0.3">
      <c r="A25" s="8" t="s">
        <v>56</v>
      </c>
      <c r="B25" s="9"/>
      <c r="C25" s="9"/>
      <c r="D25" s="9"/>
      <c r="E25" s="9"/>
      <c r="F25" s="9"/>
    </row>
    <row r="26" spans="1:6" x14ac:dyDescent="0.3">
      <c r="A26" s="8" t="s">
        <v>57</v>
      </c>
      <c r="B26" s="9" t="s">
        <v>58</v>
      </c>
      <c r="C26" s="9"/>
      <c r="D26" s="9"/>
      <c r="E26" s="9"/>
      <c r="F26" s="9"/>
    </row>
    <row r="27" spans="1:6" x14ac:dyDescent="0.3">
      <c r="A27" s="8" t="s">
        <v>59</v>
      </c>
      <c r="B27" s="9" t="s">
        <v>60</v>
      </c>
      <c r="C27" s="9"/>
      <c r="D27" s="9"/>
      <c r="E27" s="9"/>
      <c r="F27" s="9"/>
    </row>
    <row r="28" spans="1:6" x14ac:dyDescent="0.3">
      <c r="A28" s="8" t="s">
        <v>61</v>
      </c>
      <c r="B28" s="1" t="s">
        <v>62</v>
      </c>
      <c r="C28" s="2"/>
      <c r="D28" s="2"/>
      <c r="E28" s="2"/>
      <c r="F28" s="3"/>
    </row>
    <row r="29" spans="1:6" x14ac:dyDescent="0.3">
      <c r="A29" s="8" t="s">
        <v>63</v>
      </c>
      <c r="B29" s="1" t="s">
        <v>64</v>
      </c>
      <c r="C29" s="2"/>
      <c r="D29" s="2"/>
      <c r="E29" s="2" t="s">
        <v>65</v>
      </c>
      <c r="F29" s="3"/>
    </row>
    <row r="30" spans="1:6" x14ac:dyDescent="0.3">
      <c r="A30" s="8" t="s">
        <v>66</v>
      </c>
      <c r="B30" s="1" t="s">
        <v>67</v>
      </c>
      <c r="C30" s="2"/>
      <c r="D30" s="2"/>
      <c r="E30" s="2" t="s">
        <v>68</v>
      </c>
      <c r="F30" s="3"/>
    </row>
    <row r="31" spans="1:6" x14ac:dyDescent="0.3">
      <c r="A31" s="9" t="s">
        <v>69</v>
      </c>
      <c r="B31" s="9"/>
      <c r="C31" s="9"/>
      <c r="D31" s="9"/>
      <c r="E31" s="9"/>
      <c r="F31" s="9"/>
    </row>
    <row r="32" spans="1:6" x14ac:dyDescent="0.3">
      <c r="A32" s="36" t="s">
        <v>70</v>
      </c>
      <c r="B32" s="36"/>
      <c r="C32" s="36"/>
      <c r="D32" s="36"/>
      <c r="E32" s="36"/>
      <c r="F32" s="36"/>
    </row>
    <row r="33" spans="1:6" x14ac:dyDescent="0.3">
      <c r="A33" s="8" t="s">
        <v>71</v>
      </c>
      <c r="B33" s="8" t="s">
        <v>72</v>
      </c>
      <c r="C33" s="8" t="s">
        <v>73</v>
      </c>
      <c r="D33" s="8" t="s">
        <v>74</v>
      </c>
      <c r="E33" s="8" t="s">
        <v>75</v>
      </c>
      <c r="F33" s="8" t="s">
        <v>76</v>
      </c>
    </row>
    <row r="34" spans="1:6" x14ac:dyDescent="0.3">
      <c r="A34" s="8" t="s">
        <v>77</v>
      </c>
      <c r="B34" s="8">
        <v>550</v>
      </c>
      <c r="C34" s="8">
        <v>990</v>
      </c>
      <c r="D34" s="8">
        <v>1100</v>
      </c>
      <c r="E34" s="8">
        <v>1375</v>
      </c>
      <c r="F34" s="8">
        <v>1650</v>
      </c>
    </row>
    <row r="35" spans="1:6" x14ac:dyDescent="0.3">
      <c r="A35" s="8" t="s">
        <v>78</v>
      </c>
      <c r="B35" s="8">
        <v>825</v>
      </c>
      <c r="C35" s="8">
        <v>1210</v>
      </c>
      <c r="D35" s="8">
        <v>1375</v>
      </c>
      <c r="E35" s="8">
        <v>1650</v>
      </c>
      <c r="F35" s="8">
        <v>1925</v>
      </c>
    </row>
    <row r="36" spans="1:6" x14ac:dyDescent="0.3">
      <c r="A36" s="8" t="s">
        <v>79</v>
      </c>
      <c r="B36" s="8">
        <v>1100</v>
      </c>
      <c r="C36" s="8">
        <v>1650</v>
      </c>
      <c r="D36" s="8">
        <v>1925</v>
      </c>
      <c r="E36" s="8">
        <v>2200</v>
      </c>
      <c r="F36" s="8">
        <v>2750</v>
      </c>
    </row>
    <row r="37" spans="1:6" x14ac:dyDescent="0.3">
      <c r="A37" s="8" t="s">
        <v>80</v>
      </c>
      <c r="B37" s="8">
        <v>1375</v>
      </c>
      <c r="C37" s="8">
        <v>1925</v>
      </c>
      <c r="D37" s="8">
        <v>2200</v>
      </c>
      <c r="E37" s="8">
        <v>2475</v>
      </c>
      <c r="F37" s="8">
        <v>3300</v>
      </c>
    </row>
    <row r="38" spans="1:6" x14ac:dyDescent="0.3">
      <c r="A38" s="8" t="s">
        <v>81</v>
      </c>
      <c r="B38" s="8">
        <v>1650</v>
      </c>
      <c r="C38" s="8">
        <v>2200</v>
      </c>
      <c r="D38" s="8">
        <v>2750</v>
      </c>
      <c r="E38" s="8">
        <v>3300</v>
      </c>
      <c r="F38" s="8">
        <v>3960</v>
      </c>
    </row>
    <row r="39" spans="1:6" x14ac:dyDescent="0.3">
      <c r="A39" s="8" t="s">
        <v>82</v>
      </c>
      <c r="B39" s="8">
        <v>1925</v>
      </c>
      <c r="C39" s="8">
        <v>2500</v>
      </c>
      <c r="D39" s="8">
        <v>3150</v>
      </c>
      <c r="E39" s="8">
        <v>3800</v>
      </c>
      <c r="F39" s="8">
        <v>4560</v>
      </c>
    </row>
    <row r="40" spans="1:6" x14ac:dyDescent="0.3">
      <c r="A40" s="8" t="s">
        <v>83</v>
      </c>
      <c r="B40" s="8">
        <v>2200</v>
      </c>
      <c r="C40" s="8">
        <v>2800</v>
      </c>
      <c r="D40" s="8">
        <v>3550</v>
      </c>
      <c r="E40" s="8">
        <v>4300</v>
      </c>
      <c r="F40" s="8">
        <v>5160</v>
      </c>
    </row>
    <row r="41" spans="1:6" x14ac:dyDescent="0.3">
      <c r="A41" s="8" t="s">
        <v>84</v>
      </c>
      <c r="B41" s="8">
        <v>2475</v>
      </c>
      <c r="C41" s="8">
        <v>3100</v>
      </c>
      <c r="D41" s="8">
        <v>3950</v>
      </c>
      <c r="E41" s="8">
        <v>4800</v>
      </c>
      <c r="F41" s="8">
        <v>5760</v>
      </c>
    </row>
    <row r="42" spans="1:6" x14ac:dyDescent="0.3">
      <c r="A42" s="8" t="s">
        <v>85</v>
      </c>
      <c r="B42" s="8">
        <v>2750</v>
      </c>
      <c r="C42" s="8">
        <v>3400</v>
      </c>
      <c r="D42" s="8">
        <v>4350</v>
      </c>
      <c r="E42" s="8">
        <v>5300</v>
      </c>
      <c r="F42" s="8">
        <v>6360</v>
      </c>
    </row>
    <row r="43" spans="1:6" x14ac:dyDescent="0.3">
      <c r="A43" s="8" t="s">
        <v>86</v>
      </c>
      <c r="B43" s="8">
        <v>3025</v>
      </c>
      <c r="C43" s="8">
        <v>3700</v>
      </c>
      <c r="D43" s="8">
        <v>4750</v>
      </c>
      <c r="E43" s="8">
        <v>5800</v>
      </c>
      <c r="F43" s="8">
        <v>6960</v>
      </c>
    </row>
    <row r="44" spans="1:6" x14ac:dyDescent="0.3">
      <c r="A44" s="9" t="s">
        <v>87</v>
      </c>
      <c r="B44" s="9"/>
      <c r="C44" s="9"/>
      <c r="D44" s="9"/>
      <c r="E44" s="9"/>
      <c r="F44" s="9"/>
    </row>
    <row r="45" spans="1:6" x14ac:dyDescent="0.3">
      <c r="A45" s="37" t="s">
        <v>88</v>
      </c>
      <c r="B45" s="37"/>
      <c r="C45" s="37"/>
      <c r="D45" s="37"/>
      <c r="E45" s="37"/>
      <c r="F45" s="37"/>
    </row>
    <row r="46" spans="1:6" x14ac:dyDescent="0.3">
      <c r="A46" s="37" t="s">
        <v>89</v>
      </c>
      <c r="B46" s="37"/>
      <c r="C46" s="37"/>
      <c r="D46" s="37"/>
      <c r="E46" s="37"/>
      <c r="F46" s="37"/>
    </row>
    <row r="47" spans="1:6" x14ac:dyDescent="0.3">
      <c r="A47" s="37" t="s">
        <v>90</v>
      </c>
      <c r="B47" s="37"/>
      <c r="C47" s="37"/>
      <c r="D47" s="37"/>
      <c r="E47" s="37"/>
      <c r="F47" s="37"/>
    </row>
    <row r="48" spans="1:6" x14ac:dyDescent="0.3">
      <c r="A48" s="37" t="s">
        <v>91</v>
      </c>
      <c r="B48" s="37"/>
      <c r="C48" s="37"/>
      <c r="D48" s="37"/>
      <c r="E48" s="37"/>
      <c r="F48" s="37"/>
    </row>
    <row r="49" spans="1:6" x14ac:dyDescent="0.3">
      <c r="A49" s="37" t="s">
        <v>92</v>
      </c>
      <c r="B49" s="37"/>
      <c r="C49" s="37"/>
      <c r="D49" s="37"/>
      <c r="E49" s="37"/>
      <c r="F49" s="37"/>
    </row>
    <row r="50" spans="1:6" x14ac:dyDescent="0.3">
      <c r="A50" s="37" t="s">
        <v>93</v>
      </c>
      <c r="B50" s="37"/>
      <c r="C50" s="37"/>
      <c r="D50" s="37"/>
      <c r="E50" s="37"/>
      <c r="F50" s="37"/>
    </row>
    <row r="51" spans="1:6" x14ac:dyDescent="0.3">
      <c r="A51" s="37" t="s">
        <v>94</v>
      </c>
      <c r="B51" s="37"/>
      <c r="C51" s="37"/>
      <c r="D51" s="37"/>
      <c r="E51" s="37"/>
      <c r="F51" s="37"/>
    </row>
    <row r="52" spans="1:6" x14ac:dyDescent="0.3">
      <c r="A52" s="38" t="s">
        <v>95</v>
      </c>
      <c r="B52" s="38"/>
      <c r="C52" s="38"/>
      <c r="D52" s="38"/>
      <c r="E52" s="38"/>
      <c r="F52" s="38"/>
    </row>
    <row r="53" spans="1:6" x14ac:dyDescent="0.3">
      <c r="A53" s="38" t="s">
        <v>96</v>
      </c>
      <c r="B53" s="38"/>
      <c r="C53" s="38"/>
      <c r="D53" s="38"/>
      <c r="E53" s="38"/>
      <c r="F53" s="38"/>
    </row>
  </sheetData>
  <mergeCells count="40">
    <mergeCell ref="A48:F48"/>
    <mergeCell ref="A49:F49"/>
    <mergeCell ref="A50:F50"/>
    <mergeCell ref="A51:F51"/>
    <mergeCell ref="A31:F31"/>
    <mergeCell ref="A32:F32"/>
    <mergeCell ref="A44:F44"/>
    <mergeCell ref="A45:F45"/>
    <mergeCell ref="A46:F46"/>
    <mergeCell ref="A47:F47"/>
    <mergeCell ref="B27:F27"/>
    <mergeCell ref="B28:F28"/>
    <mergeCell ref="B29:D29"/>
    <mergeCell ref="E29:F29"/>
    <mergeCell ref="B30:D30"/>
    <mergeCell ref="E30:F30"/>
    <mergeCell ref="B21:F21"/>
    <mergeCell ref="B22:F22"/>
    <mergeCell ref="B23:F23"/>
    <mergeCell ref="B24:F24"/>
    <mergeCell ref="B25:F25"/>
    <mergeCell ref="B26:F26"/>
    <mergeCell ref="B14:F14"/>
    <mergeCell ref="B15:F16"/>
    <mergeCell ref="B17:F17"/>
    <mergeCell ref="B18:F18"/>
    <mergeCell ref="B19:F19"/>
    <mergeCell ref="B20:F20"/>
    <mergeCell ref="B8:F8"/>
    <mergeCell ref="B9:F9"/>
    <mergeCell ref="B10:F10"/>
    <mergeCell ref="B11:F11"/>
    <mergeCell ref="B12:F12"/>
    <mergeCell ref="A13:F13"/>
    <mergeCell ref="A1:F1"/>
    <mergeCell ref="H1:M1"/>
    <mergeCell ref="B4:F4"/>
    <mergeCell ref="A5:F5"/>
    <mergeCell ref="A6:F6"/>
    <mergeCell ref="B7:F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 James (DHL eCom Blue Dart IN)</dc:creator>
  <cp:lastModifiedBy>Vinu James (DHL eCom Blue Dart IN)</cp:lastModifiedBy>
  <dcterms:created xsi:type="dcterms:W3CDTF">2026-04-18T11:16:30Z</dcterms:created>
  <dcterms:modified xsi:type="dcterms:W3CDTF">2026-04-18T11:22:50Z</dcterms:modified>
</cp:coreProperties>
</file>