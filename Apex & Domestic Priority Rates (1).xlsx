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pdhl-my.sharepoint.com/personal/vinujames_bluedart_com/Documents/Desktop/Vinu/B2B/Quotations/Interweighing/"/>
    </mc:Choice>
  </mc:AlternateContent>
  <xr:revisionPtr revIDLastSave="0" documentId="8_{323F5B92-E65A-4A23-B763-CCD087125D23}" xr6:coauthVersionLast="47" xr6:coauthVersionMax="47" xr10:uidLastSave="{00000000-0000-0000-0000-000000000000}"/>
  <bookViews>
    <workbookView xWindow="-108" yWindow="-108" windowWidth="23256" windowHeight="12456" activeTab="2" xr2:uid="{1742F7AE-0E94-43E3-A0B1-453CC9EB5B50}"/>
  </bookViews>
  <sheets>
    <sheet name="Domestic Priority" sheetId="1" r:id="rId1"/>
    <sheet name="Air " sheetId="2" r:id="rId2"/>
    <sheet name="Air Zon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4" i="2" l="1"/>
  <c r="L14" i="2"/>
  <c r="K14" i="2"/>
  <c r="J14" i="2"/>
  <c r="I14" i="2"/>
  <c r="M13" i="2"/>
  <c r="L13" i="2"/>
  <c r="K13" i="2"/>
  <c r="J13" i="2"/>
  <c r="I13" i="2"/>
  <c r="M11" i="2"/>
  <c r="L11" i="2"/>
  <c r="K11" i="2"/>
  <c r="J11" i="2"/>
  <c r="I11" i="2"/>
  <c r="M9" i="2"/>
  <c r="L9" i="2"/>
  <c r="K9" i="2"/>
  <c r="J9" i="2"/>
  <c r="I9" i="2"/>
  <c r="M8" i="2"/>
  <c r="L8" i="2"/>
  <c r="K8" i="2"/>
  <c r="J8" i="2"/>
  <c r="I8" i="2"/>
  <c r="M6" i="2"/>
  <c r="L6" i="2"/>
  <c r="K6" i="2"/>
  <c r="J6" i="2"/>
  <c r="I6" i="2"/>
  <c r="M3" i="2"/>
  <c r="M7" i="2" s="1"/>
  <c r="L3" i="2"/>
  <c r="L7" i="2" s="1"/>
  <c r="K3" i="2"/>
  <c r="K7" i="2" s="1"/>
  <c r="J3" i="2"/>
  <c r="J7" i="2" s="1"/>
  <c r="I3" i="2"/>
  <c r="J10" i="2" l="1"/>
  <c r="I7" i="2"/>
  <c r="I10" i="2" l="1"/>
  <c r="M10" i="2"/>
  <c r="L10" i="2"/>
  <c r="K10" i="2"/>
  <c r="J12" i="2"/>
  <c r="L12" i="2" l="1"/>
  <c r="I12" i="2"/>
  <c r="K12" i="2"/>
  <c r="M12" i="2"/>
  <c r="E18" i="1" l="1"/>
  <c r="D18" i="1"/>
  <c r="C18" i="1"/>
  <c r="B18" i="1"/>
  <c r="E17" i="1"/>
  <c r="D17" i="1"/>
  <c r="C17" i="1"/>
  <c r="B17" i="1"/>
  <c r="E15" i="1"/>
  <c r="D15" i="1"/>
  <c r="C15" i="1"/>
  <c r="B15" i="1"/>
  <c r="E16" i="1"/>
  <c r="D16" i="1"/>
  <c r="C16" i="1"/>
  <c r="B16" i="1"/>
  <c r="B19" i="1" l="1"/>
  <c r="C19" i="1"/>
  <c r="D19" i="1"/>
  <c r="E19" i="1"/>
  <c r="C20" i="1" l="1"/>
  <c r="C21" i="1" s="1"/>
  <c r="D20" i="1"/>
  <c r="D21" i="1" s="1"/>
  <c r="B20" i="1"/>
  <c r="B21" i="1" s="1"/>
  <c r="E20" i="1"/>
  <c r="E21" i="1"/>
  <c r="D22" i="1" l="1"/>
  <c r="D23" i="1" s="1"/>
  <c r="C22" i="1"/>
  <c r="C23" i="1" s="1"/>
  <c r="E22" i="1"/>
  <c r="E23" i="1" s="1"/>
  <c r="B22" i="1"/>
  <c r="B23" i="1" s="1"/>
</calcChain>
</file>

<file path=xl/sharedStrings.xml><?xml version="1.0" encoding="utf-8"?>
<sst xmlns="http://schemas.openxmlformats.org/spreadsheetml/2006/main" count="143" uniqueCount="128">
  <si>
    <t>DOMESTIC PRIORITY</t>
  </si>
  <si>
    <t>Zone A1 (Within Kerala)</t>
  </si>
  <si>
    <t>Zone A : All Metro Cities and Major Cities</t>
  </si>
  <si>
    <t>Zone B : Tier 2 Cities</t>
  </si>
  <si>
    <t>Zone C : Rural Areas</t>
  </si>
  <si>
    <t xml:space="preserve">Weight Slab </t>
  </si>
  <si>
    <t>Zone A</t>
  </si>
  <si>
    <t>Zone B</t>
  </si>
  <si>
    <t>Zone C</t>
  </si>
  <si>
    <t>For first 500gms</t>
  </si>
  <si>
    <t>Every Additional 500gms</t>
  </si>
  <si>
    <t>Infra Structure Development Charge</t>
  </si>
  <si>
    <t xml:space="preserve">Fuel Surcharge </t>
  </si>
  <si>
    <t xml:space="preserve">Currency Adjustment Factor </t>
  </si>
  <si>
    <t xml:space="preserve">Elevated Frieght Staebility Surcharge </t>
  </si>
  <si>
    <t xml:space="preserve">To Pay Pick Up Reverse </t>
  </si>
  <si>
    <t>Rs 70</t>
  </si>
  <si>
    <t xml:space="preserve">Valuable Cargo Handling Chrages </t>
  </si>
  <si>
    <t>Min Rs 500 or 0.5% of invoice value (whichever is higher)</t>
  </si>
  <si>
    <t>Calculation for 500gms</t>
  </si>
  <si>
    <t>Basic Fright</t>
  </si>
  <si>
    <t>Total</t>
  </si>
  <si>
    <t>Volumetric Calculation LBH/5000 //  +GST as applicable</t>
  </si>
  <si>
    <t>92% as on August 2026 ( Sliding Mechanism)</t>
  </si>
  <si>
    <t>22% as on August 2026 (Sliding Mechanism)</t>
  </si>
  <si>
    <t>Peak Season Surcharges</t>
  </si>
  <si>
    <t xml:space="preserve">Air Express Package </t>
  </si>
  <si>
    <t>Rate Calculation for 10KG</t>
  </si>
  <si>
    <t>Zoning</t>
  </si>
  <si>
    <t>Zone 1</t>
  </si>
  <si>
    <t>Zone 2</t>
  </si>
  <si>
    <t>Zone 3</t>
  </si>
  <si>
    <t>Zone 4</t>
  </si>
  <si>
    <t>Zone 5</t>
  </si>
  <si>
    <t>Base Rate per kg</t>
  </si>
  <si>
    <t>Minimum Chargeable Weight</t>
  </si>
  <si>
    <t>10 kgs</t>
  </si>
  <si>
    <t xml:space="preserve">Docket Charge </t>
  </si>
  <si>
    <t>Minimum chargeable: Rs 260/- ( FS , CAF, Docket Fee additional)</t>
  </si>
  <si>
    <t>FOV</t>
  </si>
  <si>
    <t>Fixed Charges &amp; Surcharges</t>
  </si>
  <si>
    <t>Volume Weight Calculation</t>
  </si>
  <si>
    <t>(L*B*H / 5000 )</t>
  </si>
  <si>
    <t>IDC</t>
  </si>
  <si>
    <t>Fuel Surcharge (FS)</t>
  </si>
  <si>
    <t>Infrastructure Developmemt Charges (IDC)</t>
  </si>
  <si>
    <t>Fuel Surcharge</t>
  </si>
  <si>
    <t>Currency Adjustment Factor (CAF)</t>
  </si>
  <si>
    <t>Peak Season Surchrage</t>
  </si>
  <si>
    <t>CAF</t>
  </si>
  <si>
    <t>Docket Fee</t>
  </si>
  <si>
    <t>Rs 100</t>
  </si>
  <si>
    <t>Value Added Services (Additional to Rates and Surcharges)</t>
  </si>
  <si>
    <t>Remote Area Surcharge (RAS) Only for Bihar, Jharkhand, Kerala , Jammu , Kashmir &amp; Ladakh</t>
  </si>
  <si>
    <t>Rs 3/kg</t>
  </si>
  <si>
    <t xml:space="preserve">FOV (as % of cargo value) per AWB </t>
  </si>
  <si>
    <t>Min Rs 90 or 0.05% of invoice value (whichever is higher)</t>
  </si>
  <si>
    <t xml:space="preserve">a.Owner's Risk </t>
  </si>
  <si>
    <t>OS/OW (Dimension &gt;120cm / Weight&gt;70kg)</t>
  </si>
  <si>
    <t>Rs 1200 per shipment</t>
  </si>
  <si>
    <t>To Pay charges (per AWB)</t>
  </si>
  <si>
    <t>Demurrage (After 5 days of arrival) per AWB</t>
  </si>
  <si>
    <t>Min Rs 100 or Rs 2.5/kg/day (whichever is higher)</t>
  </si>
  <si>
    <t>Environment Compensation Charge (ECC) - For every shipment delivered into Delhi, booked from Delhi &amp; transiting through Delhi (per AWB)</t>
  </si>
  <si>
    <t>1kg - 50kg : ` 80/- 50kg - 100kg : ` 130/- 100kg+ : ` 180/-</t>
  </si>
  <si>
    <t>Special Handling Charges, (For every shipment delivered into Maharashtra)</t>
  </si>
  <si>
    <t>Rs 3/Kg</t>
  </si>
  <si>
    <t>Valuable Cargo Handling Charge (VCHC) (as % of declared value exceeding ` 10,000/- per kg based on actual weight)</t>
  </si>
  <si>
    <t>Zero till 50k limit post which VCHC will apply, Charges - Min Rs 400 or 0.5% of invoice value, (whichever is higher)</t>
  </si>
  <si>
    <t>Delivery by appointment/ SEZ /Special delivery</t>
  </si>
  <si>
    <t>Rs 300 or Rs 2 Per Kg whichever is higher</t>
  </si>
  <si>
    <t>Acknowledgement of Delivery Challan (per AWB)</t>
  </si>
  <si>
    <t>Rs 150</t>
  </si>
  <si>
    <t xml:space="preserve">Freight on Delivery (FOD) </t>
  </si>
  <si>
    <t xml:space="preserve">a. Upto 100Kg </t>
  </si>
  <si>
    <t>Rs 110</t>
  </si>
  <si>
    <t>b. Above 100Kgs</t>
  </si>
  <si>
    <t>Rs 280</t>
  </si>
  <si>
    <t>Draft On Delivery (DOD) (as % of cargo value per AWB)</t>
  </si>
  <si>
    <t>Min Rs 220 or 0.5% of invoice value (whichever is higher)</t>
  </si>
  <si>
    <t>Dangerous goods</t>
  </si>
  <si>
    <t>ATA - Min Rs 3000 or Rs 90/kg</t>
  </si>
  <si>
    <t>DTD - Min Rs 4000 or Rs 100/kg</t>
  </si>
  <si>
    <t>Partial Delivery Charges</t>
  </si>
  <si>
    <t>Rs 800 upto 200Kgs</t>
  </si>
  <si>
    <t>Rs 4 per additional kg</t>
  </si>
  <si>
    <t>RTO Billing will be done at the contractual rates</t>
  </si>
  <si>
    <t>Extra Delivery Location (EDL) Rate Matrix</t>
  </si>
  <si>
    <t>Distance in KMs</t>
  </si>
  <si>
    <t>0-100 Kgs</t>
  </si>
  <si>
    <t>101 -250 Kgs</t>
  </si>
  <si>
    <t>251- 500 Kgs</t>
  </si>
  <si>
    <t>501-1000 Kgs</t>
  </si>
  <si>
    <t>1001-1500 Kgs</t>
  </si>
  <si>
    <t>20-50 Kms</t>
  </si>
  <si>
    <t>51-100 Kms</t>
  </si>
  <si>
    <t>101-150 Kms</t>
  </si>
  <si>
    <t>151-200 Kms</t>
  </si>
  <si>
    <t>201 -250 Kms</t>
  </si>
  <si>
    <t>250 - 300 Kms</t>
  </si>
  <si>
    <t>300 - 350 Kms</t>
  </si>
  <si>
    <t>350 - 400 Kms</t>
  </si>
  <si>
    <t>400 - 450 Kms</t>
  </si>
  <si>
    <t>450 - 500 Kms</t>
  </si>
  <si>
    <t>Note</t>
  </si>
  <si>
    <t>1. EDL charges are chargeable for delivery to the areas outside Blue Dart's coverage Area</t>
  </si>
  <si>
    <t>2. EDL charges are in addition to freight charges</t>
  </si>
  <si>
    <t>3. Shipments which are beyond 500 Kms would be charged at 14 Rs / Km and beyond 1500 kgs would be charged at Rs 5.00 /kg whichever is higher</t>
  </si>
  <si>
    <t>4. For locations in J&amp;K and North-East applicable EDL charges will be Rs 15/kg or Rs 3000 which ever is higher</t>
  </si>
  <si>
    <t>5. Fuel Surcharge will be extra , as applicable .</t>
  </si>
  <si>
    <t>6. Applicable Distance would be from the nearest hub.</t>
  </si>
  <si>
    <t>GST with Cess (to be charged on all freight charges, other charges &amp; value-added services) as per the applicable rates.</t>
  </si>
  <si>
    <t>*Taxes extra as applicable</t>
  </si>
  <si>
    <t>*The commercials are in scope of annual GPI and PSS cycle</t>
  </si>
  <si>
    <t>Zone 1 (South)</t>
  </si>
  <si>
    <t>Zone 2 (West)</t>
  </si>
  <si>
    <t>Zone 3 (North)</t>
  </si>
  <si>
    <t>Zone 4 (East)</t>
  </si>
  <si>
    <t>Zone 5 (NE/JK)</t>
  </si>
  <si>
    <t>Andhra Pradesh , Karnataka , Kerala , Pondicherry , Tamil Nadu , Telangana</t>
  </si>
  <si>
    <t>Madhya Pradesh , MP , Gujarat , Chhattisgarh , Goa , Daman</t>
  </si>
  <si>
    <t>Himachal Pradesh , Punjab , Haryana , Uttarakhand ,Uttar Pradesh , Rajasthan , Delhi , Chandigarh</t>
  </si>
  <si>
    <t>Bihar , Orissa , West Bengal , Jharkhand</t>
  </si>
  <si>
    <t>Assam ,Arunachal Pradesh,, Manipur, Meghalaya, Mizoram, Nagaland ,Tripura, Sikkim</t>
  </si>
  <si>
    <t>92% as on August 2026</t>
  </si>
  <si>
    <t>22% As on August 2026</t>
  </si>
  <si>
    <t>EFSS</t>
  </si>
  <si>
    <t>PSS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</si>
</sst>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b/>
      <sz val="11"/>
      <color rgb="FF333399"/>
      <name val="Calibri"/>
      <family val="2"/>
    </font>
    <font>
      <u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EA72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3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64" fontId="5" fillId="3" borderId="5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justify" vertic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2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9" fontId="7" fillId="0" borderId="8" xfId="0" applyNumberFormat="1" applyFont="1" applyBorder="1" applyAlignment="1">
      <alignment horizontal="center"/>
    </xf>
    <xf numFmtId="9" fontId="7" fillId="0" borderId="9" xfId="0" applyNumberFormat="1" applyFont="1" applyBorder="1" applyAlignment="1">
      <alignment horizontal="center"/>
    </xf>
    <xf numFmtId="9" fontId="7" fillId="0" borderId="10" xfId="0" applyNumberFormat="1" applyFon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3" borderId="11" xfId="0" applyFill="1" applyBorder="1" applyAlignment="1">
      <alignment horizontal="center"/>
    </xf>
    <xf numFmtId="2" fontId="0" fillId="3" borderId="11" xfId="0" applyNumberFormat="1" applyFill="1" applyBorder="1" applyAlignment="1">
      <alignment horizontal="center"/>
    </xf>
    <xf numFmtId="0" fontId="7" fillId="0" borderId="11" xfId="0" applyFont="1" applyBorder="1" applyAlignment="1">
      <alignment horizontal="center" wrapText="1"/>
    </xf>
    <xf numFmtId="0" fontId="7" fillId="0" borderId="11" xfId="0" applyFont="1" applyBorder="1" applyAlignment="1">
      <alignment horizontal="center" vertical="top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wrapText="1"/>
    </xf>
    <xf numFmtId="0" fontId="8" fillId="0" borderId="9" xfId="0" applyFont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0" fontId="7" fillId="3" borderId="11" xfId="0" applyFont="1" applyFill="1" applyBorder="1" applyAlignment="1">
      <alignment horizontal="center"/>
    </xf>
    <xf numFmtId="0" fontId="7" fillId="0" borderId="11" xfId="0" applyFont="1" applyBorder="1" applyAlignment="1">
      <alignment horizontal="left"/>
    </xf>
    <xf numFmtId="0" fontId="7" fillId="0" borderId="0" xfId="0" applyFont="1"/>
    <xf numFmtId="0" fontId="5" fillId="5" borderId="19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/>
    </xf>
    <xf numFmtId="2" fontId="0" fillId="6" borderId="11" xfId="0" applyNumberFormat="1" applyFill="1" applyBorder="1" applyAlignment="1">
      <alignment horizontal="center"/>
    </xf>
    <xf numFmtId="0" fontId="0" fillId="6" borderId="1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8D46D-57F8-4BBC-A7AB-E2B4997768B7}">
  <dimension ref="A1:E25"/>
  <sheetViews>
    <sheetView workbookViewId="0">
      <selection activeCell="I10" sqref="I10"/>
    </sheetView>
  </sheetViews>
  <sheetFormatPr defaultRowHeight="14.4" x14ac:dyDescent="0.3"/>
  <cols>
    <col min="1" max="1" width="41.44140625" customWidth="1"/>
    <col min="2" max="2" width="28.77734375" customWidth="1"/>
    <col min="3" max="3" width="44.5546875" customWidth="1"/>
    <col min="4" max="4" width="20.109375" customWidth="1"/>
    <col min="5" max="5" width="32.21875" customWidth="1"/>
  </cols>
  <sheetData>
    <row r="1" spans="1:5" ht="15" thickBot="1" x14ac:dyDescent="0.35">
      <c r="A1" s="1" t="s">
        <v>0</v>
      </c>
      <c r="B1" s="2"/>
      <c r="C1" s="2"/>
      <c r="D1" s="2"/>
      <c r="E1" s="3"/>
    </row>
    <row r="2" spans="1:5" ht="15" thickBot="1" x14ac:dyDescent="0.35">
      <c r="A2" s="4"/>
      <c r="B2" s="5" t="s">
        <v>1</v>
      </c>
      <c r="C2" s="6" t="s">
        <v>2</v>
      </c>
      <c r="D2" s="6" t="s">
        <v>3</v>
      </c>
      <c r="E2" s="6" t="s">
        <v>4</v>
      </c>
    </row>
    <row r="3" spans="1:5" ht="15" thickBot="1" x14ac:dyDescent="0.35">
      <c r="A3" s="7" t="s">
        <v>5</v>
      </c>
      <c r="B3" s="8"/>
      <c r="C3" s="9" t="s">
        <v>6</v>
      </c>
      <c r="D3" s="9" t="s">
        <v>7</v>
      </c>
      <c r="E3" s="9" t="s">
        <v>8</v>
      </c>
    </row>
    <row r="4" spans="1:5" ht="15" thickBot="1" x14ac:dyDescent="0.35">
      <c r="A4" s="10" t="s">
        <v>9</v>
      </c>
      <c r="B4" s="11">
        <v>28</v>
      </c>
      <c r="C4" s="12">
        <v>36</v>
      </c>
      <c r="D4" s="12">
        <v>41</v>
      </c>
      <c r="E4" s="12">
        <v>46</v>
      </c>
    </row>
    <row r="5" spans="1:5" ht="15" thickBot="1" x14ac:dyDescent="0.35">
      <c r="A5" s="13" t="s">
        <v>10</v>
      </c>
      <c r="B5" s="11">
        <v>28</v>
      </c>
      <c r="C5" s="12">
        <v>36</v>
      </c>
      <c r="D5" s="12">
        <v>41</v>
      </c>
      <c r="E5" s="12">
        <v>46</v>
      </c>
    </row>
    <row r="6" spans="1:5" ht="15" thickBot="1" x14ac:dyDescent="0.35">
      <c r="A6" s="13" t="s">
        <v>11</v>
      </c>
      <c r="B6" s="14">
        <v>0.05</v>
      </c>
      <c r="C6" s="15"/>
      <c r="D6" s="15"/>
      <c r="E6" s="16"/>
    </row>
    <row r="7" spans="1:5" ht="15" thickBot="1" x14ac:dyDescent="0.35">
      <c r="A7" s="10" t="s">
        <v>12</v>
      </c>
      <c r="B7" s="17" t="s">
        <v>23</v>
      </c>
      <c r="C7" s="18"/>
      <c r="D7" s="18"/>
      <c r="E7" s="19"/>
    </row>
    <row r="8" spans="1:5" ht="15" thickBot="1" x14ac:dyDescent="0.35">
      <c r="A8" s="10" t="s">
        <v>13</v>
      </c>
      <c r="B8" s="17" t="s">
        <v>24</v>
      </c>
      <c r="C8" s="18"/>
      <c r="D8" s="18"/>
      <c r="E8" s="19"/>
    </row>
    <row r="9" spans="1:5" ht="15" thickBot="1" x14ac:dyDescent="0.35">
      <c r="A9" s="13" t="s">
        <v>14</v>
      </c>
      <c r="B9" s="14">
        <v>0.1</v>
      </c>
      <c r="C9" s="15"/>
      <c r="D9" s="15"/>
      <c r="E9" s="16"/>
    </row>
    <row r="10" spans="1:5" ht="15" thickBot="1" x14ac:dyDescent="0.35">
      <c r="A10" s="13" t="s">
        <v>15</v>
      </c>
      <c r="B10" s="20" t="s">
        <v>16</v>
      </c>
      <c r="C10" s="21"/>
      <c r="D10" s="21"/>
      <c r="E10" s="22"/>
    </row>
    <row r="11" spans="1:5" ht="15" thickBot="1" x14ac:dyDescent="0.35">
      <c r="A11" s="13" t="s">
        <v>25</v>
      </c>
      <c r="B11" s="14">
        <v>0.05</v>
      </c>
      <c r="C11" s="21"/>
      <c r="D11" s="21"/>
      <c r="E11" s="22"/>
    </row>
    <row r="12" spans="1:5" ht="15" thickBot="1" x14ac:dyDescent="0.35">
      <c r="A12" s="10" t="s">
        <v>17</v>
      </c>
      <c r="B12" s="17" t="s">
        <v>18</v>
      </c>
      <c r="C12" s="18"/>
      <c r="D12" s="18"/>
      <c r="E12" s="19"/>
    </row>
    <row r="13" spans="1:5" ht="15" thickBot="1" x14ac:dyDescent="0.35">
      <c r="A13" s="17" t="s">
        <v>19</v>
      </c>
      <c r="B13" s="18"/>
      <c r="C13" s="18"/>
      <c r="D13" s="18"/>
      <c r="E13" s="19"/>
    </row>
    <row r="14" spans="1:5" ht="15" thickBot="1" x14ac:dyDescent="0.35">
      <c r="A14" s="13" t="s">
        <v>20</v>
      </c>
      <c r="B14" s="11">
        <v>28</v>
      </c>
      <c r="C14" s="12">
        <v>36</v>
      </c>
      <c r="D14" s="12">
        <v>41</v>
      </c>
      <c r="E14" s="12">
        <v>46</v>
      </c>
    </row>
    <row r="15" spans="1:5" ht="15" thickBot="1" x14ac:dyDescent="0.35">
      <c r="A15" s="13" t="s">
        <v>25</v>
      </c>
      <c r="B15" s="11">
        <f>B14*5%</f>
        <v>1.4000000000000001</v>
      </c>
      <c r="C15" s="11">
        <f t="shared" ref="C15:E15" si="0">C14*5%</f>
        <v>1.8</v>
      </c>
      <c r="D15" s="11">
        <f t="shared" si="0"/>
        <v>2.0500000000000003</v>
      </c>
      <c r="E15" s="11">
        <f t="shared" si="0"/>
        <v>2.3000000000000003</v>
      </c>
    </row>
    <row r="16" spans="1:5" ht="15" thickBot="1" x14ac:dyDescent="0.35">
      <c r="A16" s="13" t="s">
        <v>11</v>
      </c>
      <c r="B16" s="12">
        <f>B14*5%</f>
        <v>1.4000000000000001</v>
      </c>
      <c r="C16" s="12">
        <f t="shared" ref="C16:E16" si="1">C14*5%</f>
        <v>1.8</v>
      </c>
      <c r="D16" s="12">
        <f t="shared" si="1"/>
        <v>2.0500000000000003</v>
      </c>
      <c r="E16" s="12">
        <f t="shared" si="1"/>
        <v>2.3000000000000003</v>
      </c>
    </row>
    <row r="17" spans="1:5" ht="15" thickBot="1" x14ac:dyDescent="0.35">
      <c r="A17" s="13"/>
      <c r="B17" s="12">
        <f>SUM(B14:B16)</f>
        <v>30.799999999999997</v>
      </c>
      <c r="C17" s="12">
        <f t="shared" ref="C17:E17" si="2">SUM(C14:C16)</f>
        <v>39.599999999999994</v>
      </c>
      <c r="D17" s="12">
        <f t="shared" si="2"/>
        <v>45.099999999999994</v>
      </c>
      <c r="E17" s="12">
        <f t="shared" si="2"/>
        <v>50.599999999999994</v>
      </c>
    </row>
    <row r="18" spans="1:5" ht="15" thickBot="1" x14ac:dyDescent="0.35">
      <c r="A18" s="13" t="s">
        <v>12</v>
      </c>
      <c r="B18" s="23">
        <f>B17*92%</f>
        <v>28.335999999999999</v>
      </c>
      <c r="C18" s="23">
        <f t="shared" ref="C18:E18" si="3">C17*92%</f>
        <v>36.431999999999995</v>
      </c>
      <c r="D18" s="23">
        <f t="shared" si="3"/>
        <v>41.491999999999997</v>
      </c>
      <c r="E18" s="23">
        <f t="shared" si="3"/>
        <v>46.552</v>
      </c>
    </row>
    <row r="19" spans="1:5" ht="15" thickBot="1" x14ac:dyDescent="0.35">
      <c r="A19" s="13"/>
      <c r="B19" s="23">
        <f>B17+B18</f>
        <v>59.135999999999996</v>
      </c>
      <c r="C19" s="23">
        <f t="shared" ref="C19:E19" si="4">C17+C18</f>
        <v>76.031999999999982</v>
      </c>
      <c r="D19" s="23">
        <f t="shared" si="4"/>
        <v>86.591999999999985</v>
      </c>
      <c r="E19" s="23">
        <f t="shared" si="4"/>
        <v>97.151999999999987</v>
      </c>
    </row>
    <row r="20" spans="1:5" ht="15" thickBot="1" x14ac:dyDescent="0.35">
      <c r="A20" s="10" t="s">
        <v>13</v>
      </c>
      <c r="B20" s="23">
        <f>B19*22%</f>
        <v>13.009919999999999</v>
      </c>
      <c r="C20" s="23">
        <f t="shared" ref="C20:E20" si="5">C19*22%</f>
        <v>16.727039999999995</v>
      </c>
      <c r="D20" s="23">
        <f t="shared" si="5"/>
        <v>19.050239999999995</v>
      </c>
      <c r="E20" s="23">
        <f t="shared" si="5"/>
        <v>21.373439999999999</v>
      </c>
    </row>
    <row r="21" spans="1:5" ht="15" thickBot="1" x14ac:dyDescent="0.35">
      <c r="A21" s="24"/>
      <c r="B21" s="25">
        <f>B19+B20</f>
        <v>72.14591999999999</v>
      </c>
      <c r="C21" s="25">
        <f t="shared" ref="C21:E21" si="6">C19+C20</f>
        <v>92.75903999999997</v>
      </c>
      <c r="D21" s="25">
        <f t="shared" si="6"/>
        <v>105.64223999999999</v>
      </c>
      <c r="E21" s="25">
        <f t="shared" si="6"/>
        <v>118.52543999999999</v>
      </c>
    </row>
    <row r="22" spans="1:5" ht="15" thickBot="1" x14ac:dyDescent="0.35">
      <c r="A22" s="13" t="s">
        <v>14</v>
      </c>
      <c r="B22" s="23">
        <f>B21*7%</f>
        <v>5.0502143999999998</v>
      </c>
      <c r="C22" s="23">
        <f t="shared" ref="C22:E22" si="7">C21*7%</f>
        <v>6.4931327999999988</v>
      </c>
      <c r="D22" s="23">
        <f t="shared" si="7"/>
        <v>7.3949568000000001</v>
      </c>
      <c r="E22" s="23">
        <f t="shared" si="7"/>
        <v>8.2967808000000005</v>
      </c>
    </row>
    <row r="23" spans="1:5" ht="15" thickBot="1" x14ac:dyDescent="0.35">
      <c r="A23" s="26" t="s">
        <v>21</v>
      </c>
      <c r="B23" s="27">
        <f>B21+B22</f>
        <v>77.196134399999991</v>
      </c>
      <c r="C23" s="27">
        <f t="shared" ref="C23:E23" si="8">C21+C22</f>
        <v>99.252172799999968</v>
      </c>
      <c r="D23" s="27">
        <f t="shared" si="8"/>
        <v>113.03719679999999</v>
      </c>
      <c r="E23" s="27">
        <f t="shared" si="8"/>
        <v>126.8222208</v>
      </c>
    </row>
    <row r="24" spans="1:5" x14ac:dyDescent="0.3">
      <c r="A24" s="28" t="s">
        <v>22</v>
      </c>
      <c r="B24" s="29"/>
      <c r="C24" s="29"/>
      <c r="D24" s="29"/>
      <c r="E24" s="29"/>
    </row>
    <row r="25" spans="1:5" x14ac:dyDescent="0.3">
      <c r="A25" s="30"/>
    </row>
  </sheetData>
  <mergeCells count="10">
    <mergeCell ref="B12:E12"/>
    <mergeCell ref="A13:E13"/>
    <mergeCell ref="A24:E24"/>
    <mergeCell ref="B11:E11"/>
    <mergeCell ref="A1:E1"/>
    <mergeCell ref="B6:E6"/>
    <mergeCell ref="B7:E7"/>
    <mergeCell ref="B8:E8"/>
    <mergeCell ref="B9:E9"/>
    <mergeCell ref="B10:E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8AA0-52CD-4350-A03F-325A9264C1CD}">
  <dimension ref="A1:M54"/>
  <sheetViews>
    <sheetView workbookViewId="0">
      <selection activeCell="L17" sqref="L17"/>
    </sheetView>
  </sheetViews>
  <sheetFormatPr defaultRowHeight="14.4" x14ac:dyDescent="0.3"/>
  <cols>
    <col min="1" max="1" width="49.77734375" customWidth="1"/>
    <col min="2" max="2" width="11.21875" customWidth="1"/>
    <col min="3" max="3" width="9.44140625" customWidth="1"/>
    <col min="4" max="4" width="11.6640625" customWidth="1"/>
    <col min="5" max="5" width="10.5546875" customWidth="1"/>
    <col min="6" max="6" width="11.109375" customWidth="1"/>
    <col min="8" max="8" width="18.33203125" customWidth="1"/>
    <col min="9" max="9" width="11" customWidth="1"/>
    <col min="10" max="10" width="11.44140625" customWidth="1"/>
    <col min="11" max="12" width="11.77734375" customWidth="1"/>
    <col min="13" max="13" width="13.21875" customWidth="1"/>
  </cols>
  <sheetData>
    <row r="1" spans="1:13" x14ac:dyDescent="0.3">
      <c r="A1" s="31" t="s">
        <v>26</v>
      </c>
      <c r="B1" s="32"/>
      <c r="C1" s="32"/>
      <c r="D1" s="32"/>
      <c r="E1" s="32"/>
      <c r="F1" s="33"/>
      <c r="H1" s="34" t="s">
        <v>27</v>
      </c>
      <c r="I1" s="34"/>
      <c r="J1" s="34"/>
      <c r="K1" s="34"/>
      <c r="L1" s="34"/>
      <c r="M1" s="34"/>
    </row>
    <row r="2" spans="1:13" x14ac:dyDescent="0.3">
      <c r="A2" s="35" t="s">
        <v>28</v>
      </c>
      <c r="B2" s="36" t="s">
        <v>29</v>
      </c>
      <c r="C2" s="36" t="s">
        <v>30</v>
      </c>
      <c r="D2" s="36" t="s">
        <v>31</v>
      </c>
      <c r="E2" s="36" t="s">
        <v>32</v>
      </c>
      <c r="F2" s="36" t="s">
        <v>33</v>
      </c>
      <c r="H2" s="37" t="s">
        <v>28</v>
      </c>
      <c r="I2" s="37" t="s">
        <v>29</v>
      </c>
      <c r="J2" s="37" t="s">
        <v>30</v>
      </c>
      <c r="K2" s="37" t="s">
        <v>31</v>
      </c>
      <c r="L2" s="37" t="s">
        <v>32</v>
      </c>
      <c r="M2" s="37" t="s">
        <v>33</v>
      </c>
    </row>
    <row r="3" spans="1:13" x14ac:dyDescent="0.3">
      <c r="A3" s="38" t="s">
        <v>34</v>
      </c>
      <c r="B3" s="38">
        <v>32</v>
      </c>
      <c r="C3" s="38">
        <v>45</v>
      </c>
      <c r="D3" s="38">
        <v>50</v>
      </c>
      <c r="E3" s="38">
        <v>65</v>
      </c>
      <c r="F3" s="38">
        <v>70</v>
      </c>
      <c r="H3" s="39" t="s">
        <v>20</v>
      </c>
      <c r="I3" s="39">
        <f>B3*10</f>
        <v>320</v>
      </c>
      <c r="J3" s="39">
        <f>C3*10</f>
        <v>450</v>
      </c>
      <c r="K3" s="39">
        <f>D3*10</f>
        <v>500</v>
      </c>
      <c r="L3" s="39">
        <f>E3*10</f>
        <v>650</v>
      </c>
      <c r="M3" s="39">
        <f>F3*10</f>
        <v>700</v>
      </c>
    </row>
    <row r="4" spans="1:13" x14ac:dyDescent="0.3">
      <c r="A4" s="38" t="s">
        <v>35</v>
      </c>
      <c r="B4" s="31" t="s">
        <v>36</v>
      </c>
      <c r="C4" s="32"/>
      <c r="D4" s="32"/>
      <c r="E4" s="32"/>
      <c r="F4" s="33"/>
      <c r="H4" s="37" t="s">
        <v>37</v>
      </c>
      <c r="I4" s="37">
        <v>100</v>
      </c>
      <c r="J4" s="37">
        <v>100</v>
      </c>
      <c r="K4" s="37">
        <v>100</v>
      </c>
      <c r="L4" s="37">
        <v>100</v>
      </c>
      <c r="M4" s="37">
        <v>100</v>
      </c>
    </row>
    <row r="5" spans="1:13" x14ac:dyDescent="0.3">
      <c r="A5" s="40" t="s">
        <v>38</v>
      </c>
      <c r="B5" s="40"/>
      <c r="C5" s="40"/>
      <c r="D5" s="40"/>
      <c r="E5" s="40"/>
      <c r="F5" s="40"/>
      <c r="H5" s="37" t="s">
        <v>39</v>
      </c>
      <c r="I5" s="37">
        <v>90</v>
      </c>
      <c r="J5" s="37">
        <v>90</v>
      </c>
      <c r="K5" s="37">
        <v>90</v>
      </c>
      <c r="L5" s="37">
        <v>90</v>
      </c>
      <c r="M5" s="37">
        <v>90</v>
      </c>
    </row>
    <row r="6" spans="1:13" x14ac:dyDescent="0.3">
      <c r="A6" s="41" t="s">
        <v>40</v>
      </c>
      <c r="B6" s="42"/>
      <c r="C6" s="42"/>
      <c r="D6" s="42"/>
      <c r="E6" s="42"/>
      <c r="F6" s="43"/>
      <c r="H6" s="37" t="s">
        <v>127</v>
      </c>
      <c r="I6" s="39">
        <f>I3*5%</f>
        <v>16</v>
      </c>
      <c r="J6" s="39">
        <f t="shared" ref="J6:M6" si="0">J3*5%</f>
        <v>22.5</v>
      </c>
      <c r="K6" s="39">
        <f t="shared" si="0"/>
        <v>25</v>
      </c>
      <c r="L6" s="39">
        <f t="shared" si="0"/>
        <v>32.5</v>
      </c>
      <c r="M6" s="39">
        <f t="shared" si="0"/>
        <v>35</v>
      </c>
    </row>
    <row r="7" spans="1:13" x14ac:dyDescent="0.3">
      <c r="A7" s="38" t="s">
        <v>41</v>
      </c>
      <c r="B7" s="31" t="s">
        <v>42</v>
      </c>
      <c r="C7" s="32"/>
      <c r="D7" s="32"/>
      <c r="E7" s="32"/>
      <c r="F7" s="33"/>
      <c r="H7" s="37" t="s">
        <v>43</v>
      </c>
      <c r="I7" s="39">
        <f>I3*5%</f>
        <v>16</v>
      </c>
      <c r="J7" s="39">
        <f>J3*5%</f>
        <v>22.5</v>
      </c>
      <c r="K7" s="39">
        <f>K3*5%</f>
        <v>25</v>
      </c>
      <c r="L7" s="39">
        <f>L3*5%</f>
        <v>32.5</v>
      </c>
      <c r="M7" s="39">
        <f>M3*5%</f>
        <v>35</v>
      </c>
    </row>
    <row r="8" spans="1:13" x14ac:dyDescent="0.3">
      <c r="A8" s="38" t="s">
        <v>44</v>
      </c>
      <c r="B8" s="31" t="s">
        <v>124</v>
      </c>
      <c r="C8" s="32"/>
      <c r="D8" s="32"/>
      <c r="E8" s="32"/>
      <c r="F8" s="33"/>
      <c r="H8" s="39"/>
      <c r="I8" s="39">
        <f>SUM(I3:I7)</f>
        <v>542</v>
      </c>
      <c r="J8" s="39">
        <f t="shared" ref="J8:M8" si="1">SUM(J3:J7)</f>
        <v>685</v>
      </c>
      <c r="K8" s="39">
        <f t="shared" si="1"/>
        <v>740</v>
      </c>
      <c r="L8" s="39">
        <f t="shared" si="1"/>
        <v>905</v>
      </c>
      <c r="M8" s="39">
        <f t="shared" si="1"/>
        <v>960</v>
      </c>
    </row>
    <row r="9" spans="1:13" x14ac:dyDescent="0.3">
      <c r="A9" s="38" t="s">
        <v>45</v>
      </c>
      <c r="B9" s="44">
        <v>0.05</v>
      </c>
      <c r="C9" s="45"/>
      <c r="D9" s="45"/>
      <c r="E9" s="45"/>
      <c r="F9" s="46"/>
      <c r="H9" s="37" t="s">
        <v>46</v>
      </c>
      <c r="I9" s="47">
        <f>I8*92%</f>
        <v>498.64000000000004</v>
      </c>
      <c r="J9" s="47">
        <f t="shared" ref="J9:M9" si="2">J8*92%</f>
        <v>630.20000000000005</v>
      </c>
      <c r="K9" s="47">
        <f t="shared" si="2"/>
        <v>680.80000000000007</v>
      </c>
      <c r="L9" s="47">
        <f t="shared" si="2"/>
        <v>832.6</v>
      </c>
      <c r="M9" s="47">
        <f t="shared" si="2"/>
        <v>883.2</v>
      </c>
    </row>
    <row r="10" spans="1:13" x14ac:dyDescent="0.3">
      <c r="A10" s="38" t="s">
        <v>47</v>
      </c>
      <c r="B10" s="44" t="s">
        <v>125</v>
      </c>
      <c r="C10" s="32"/>
      <c r="D10" s="32"/>
      <c r="E10" s="32"/>
      <c r="F10" s="33"/>
      <c r="H10" s="39"/>
      <c r="I10" s="47">
        <f>I8+I9</f>
        <v>1040.6400000000001</v>
      </c>
      <c r="J10" s="47">
        <f>J8+J9</f>
        <v>1315.2</v>
      </c>
      <c r="K10" s="47">
        <f>K8+K9</f>
        <v>1420.8000000000002</v>
      </c>
      <c r="L10" s="47">
        <f>L8+L9</f>
        <v>1737.6</v>
      </c>
      <c r="M10" s="47">
        <f>M8+M9</f>
        <v>1843.2</v>
      </c>
    </row>
    <row r="11" spans="1:13" x14ac:dyDescent="0.3">
      <c r="A11" s="38" t="s">
        <v>48</v>
      </c>
      <c r="B11" s="44">
        <v>0.05</v>
      </c>
      <c r="C11" s="45"/>
      <c r="D11" s="45"/>
      <c r="E11" s="45"/>
      <c r="F11" s="46"/>
      <c r="H11" s="37" t="s">
        <v>49</v>
      </c>
      <c r="I11" s="47">
        <f>I10*22%</f>
        <v>228.94080000000002</v>
      </c>
      <c r="J11" s="47">
        <f t="shared" ref="J11:M11" si="3">J10*22%</f>
        <v>289.34399999999999</v>
      </c>
      <c r="K11" s="47">
        <f t="shared" si="3"/>
        <v>312.57600000000002</v>
      </c>
      <c r="L11" s="47">
        <f t="shared" si="3"/>
        <v>382.27199999999999</v>
      </c>
      <c r="M11" s="47">
        <f t="shared" si="3"/>
        <v>405.50400000000002</v>
      </c>
    </row>
    <row r="12" spans="1:13" x14ac:dyDescent="0.3">
      <c r="A12" s="38" t="s">
        <v>50</v>
      </c>
      <c r="B12" s="31" t="s">
        <v>51</v>
      </c>
      <c r="C12" s="32"/>
      <c r="D12" s="32"/>
      <c r="E12" s="32"/>
      <c r="F12" s="33"/>
      <c r="H12" s="71"/>
      <c r="I12" s="70">
        <f>I10+I11</f>
        <v>1269.5808000000002</v>
      </c>
      <c r="J12" s="70">
        <f>J10+J11</f>
        <v>1604.5440000000001</v>
      </c>
      <c r="K12" s="70">
        <f>K10+K11</f>
        <v>1733.3760000000002</v>
      </c>
      <c r="L12" s="70">
        <f>L10+L11</f>
        <v>2119.8719999999998</v>
      </c>
      <c r="M12" s="70">
        <f>M10+M11</f>
        <v>2248.7040000000002</v>
      </c>
    </row>
    <row r="13" spans="1:13" x14ac:dyDescent="0.3">
      <c r="A13" s="69" t="s">
        <v>126</v>
      </c>
      <c r="B13" s="45">
        <v>0.1</v>
      </c>
      <c r="C13" s="32"/>
      <c r="D13" s="32"/>
      <c r="E13" s="32"/>
      <c r="F13" s="33"/>
      <c r="H13" s="71" t="s">
        <v>126</v>
      </c>
      <c r="I13" s="47">
        <f>I12*10%</f>
        <v>126.95808000000002</v>
      </c>
      <c r="J13" s="47">
        <f t="shared" ref="J13:M13" si="4">J12*10%</f>
        <v>160.45440000000002</v>
      </c>
      <c r="K13" s="47">
        <f t="shared" si="4"/>
        <v>173.33760000000004</v>
      </c>
      <c r="L13" s="47">
        <f t="shared" si="4"/>
        <v>211.9872</v>
      </c>
      <c r="M13" s="47">
        <f t="shared" si="4"/>
        <v>224.87040000000002</v>
      </c>
    </row>
    <row r="14" spans="1:13" x14ac:dyDescent="0.3">
      <c r="A14" s="41" t="s">
        <v>52</v>
      </c>
      <c r="B14" s="42"/>
      <c r="C14" s="42"/>
      <c r="D14" s="42"/>
      <c r="E14" s="42"/>
      <c r="F14" s="43"/>
      <c r="H14" s="48" t="s">
        <v>21</v>
      </c>
      <c r="I14" s="49">
        <f>I12+I13</f>
        <v>1396.5388800000003</v>
      </c>
      <c r="J14" s="49">
        <f t="shared" ref="J14:M14" si="5">J12+J13</f>
        <v>1764.9984000000002</v>
      </c>
      <c r="K14" s="49">
        <f t="shared" si="5"/>
        <v>1906.7136000000003</v>
      </c>
      <c r="L14" s="49">
        <f t="shared" si="5"/>
        <v>2331.8591999999999</v>
      </c>
      <c r="M14" s="49">
        <f t="shared" si="5"/>
        <v>2473.5744000000004</v>
      </c>
    </row>
    <row r="15" spans="1:13" ht="24.6" x14ac:dyDescent="0.3">
      <c r="A15" s="50" t="s">
        <v>53</v>
      </c>
      <c r="B15" s="31" t="s">
        <v>54</v>
      </c>
      <c r="C15" s="32"/>
      <c r="D15" s="32"/>
      <c r="E15" s="32"/>
      <c r="F15" s="33"/>
    </row>
    <row r="16" spans="1:13" x14ac:dyDescent="0.3">
      <c r="A16" s="51" t="s">
        <v>55</v>
      </c>
      <c r="B16" s="52" t="s">
        <v>56</v>
      </c>
      <c r="C16" s="53"/>
      <c r="D16" s="53"/>
      <c r="E16" s="53"/>
      <c r="F16" s="54"/>
    </row>
    <row r="17" spans="1:6" x14ac:dyDescent="0.3">
      <c r="A17" s="51" t="s">
        <v>57</v>
      </c>
      <c r="B17" s="55"/>
      <c r="C17" s="56"/>
      <c r="D17" s="56"/>
      <c r="E17" s="56"/>
      <c r="F17" s="57"/>
    </row>
    <row r="18" spans="1:6" x14ac:dyDescent="0.3">
      <c r="A18" s="38" t="s">
        <v>58</v>
      </c>
      <c r="B18" s="31" t="s">
        <v>59</v>
      </c>
      <c r="C18" s="32"/>
      <c r="D18" s="32"/>
      <c r="E18" s="32"/>
      <c r="F18" s="33"/>
    </row>
    <row r="19" spans="1:6" x14ac:dyDescent="0.3">
      <c r="A19" s="38" t="s">
        <v>60</v>
      </c>
      <c r="B19" s="31" t="s">
        <v>16</v>
      </c>
      <c r="C19" s="32"/>
      <c r="D19" s="32"/>
      <c r="E19" s="32"/>
      <c r="F19" s="33"/>
    </row>
    <row r="20" spans="1:6" x14ac:dyDescent="0.3">
      <c r="A20" s="38" t="s">
        <v>61</v>
      </c>
      <c r="B20" s="31" t="s">
        <v>62</v>
      </c>
      <c r="C20" s="32"/>
      <c r="D20" s="32"/>
      <c r="E20" s="32"/>
      <c r="F20" s="33"/>
    </row>
    <row r="21" spans="1:6" ht="36.6" x14ac:dyDescent="0.3">
      <c r="A21" s="50" t="s">
        <v>63</v>
      </c>
      <c r="B21" s="40" t="s">
        <v>64</v>
      </c>
      <c r="C21" s="40"/>
      <c r="D21" s="40"/>
      <c r="E21" s="40"/>
      <c r="F21" s="40"/>
    </row>
    <row r="22" spans="1:6" ht="24.6" x14ac:dyDescent="0.3">
      <c r="A22" s="50" t="s">
        <v>65</v>
      </c>
      <c r="B22" s="31" t="s">
        <v>66</v>
      </c>
      <c r="C22" s="32"/>
      <c r="D22" s="32"/>
      <c r="E22" s="32"/>
      <c r="F22" s="33"/>
    </row>
    <row r="23" spans="1:6" ht="24.6" x14ac:dyDescent="0.3">
      <c r="A23" s="58" t="s">
        <v>67</v>
      </c>
      <c r="B23" s="59" t="s">
        <v>68</v>
      </c>
      <c r="C23" s="60"/>
      <c r="D23" s="60"/>
      <c r="E23" s="60"/>
      <c r="F23" s="61"/>
    </row>
    <row r="24" spans="1:6" x14ac:dyDescent="0.3">
      <c r="A24" s="38" t="s">
        <v>69</v>
      </c>
      <c r="B24" s="31" t="s">
        <v>70</v>
      </c>
      <c r="C24" s="32"/>
      <c r="D24" s="32"/>
      <c r="E24" s="32"/>
      <c r="F24" s="33"/>
    </row>
    <row r="25" spans="1:6" x14ac:dyDescent="0.3">
      <c r="A25" s="38" t="s">
        <v>71</v>
      </c>
      <c r="B25" s="40" t="s">
        <v>72</v>
      </c>
      <c r="C25" s="40"/>
      <c r="D25" s="40"/>
      <c r="E25" s="40"/>
      <c r="F25" s="40"/>
    </row>
    <row r="26" spans="1:6" x14ac:dyDescent="0.3">
      <c r="A26" s="38" t="s">
        <v>73</v>
      </c>
      <c r="B26" s="40"/>
      <c r="C26" s="40"/>
      <c r="D26" s="40"/>
      <c r="E26" s="40"/>
      <c r="F26" s="40"/>
    </row>
    <row r="27" spans="1:6" x14ac:dyDescent="0.3">
      <c r="A27" s="38" t="s">
        <v>74</v>
      </c>
      <c r="B27" s="40" t="s">
        <v>75</v>
      </c>
      <c r="C27" s="40"/>
      <c r="D27" s="40"/>
      <c r="E27" s="40"/>
      <c r="F27" s="40"/>
    </row>
    <row r="28" spans="1:6" x14ac:dyDescent="0.3">
      <c r="A28" s="38" t="s">
        <v>76</v>
      </c>
      <c r="B28" s="40" t="s">
        <v>77</v>
      </c>
      <c r="C28" s="40"/>
      <c r="D28" s="40"/>
      <c r="E28" s="40"/>
      <c r="F28" s="40"/>
    </row>
    <row r="29" spans="1:6" x14ac:dyDescent="0.3">
      <c r="A29" s="38" t="s">
        <v>78</v>
      </c>
      <c r="B29" s="31" t="s">
        <v>79</v>
      </c>
      <c r="C29" s="32"/>
      <c r="D29" s="32"/>
      <c r="E29" s="32"/>
      <c r="F29" s="33"/>
    </row>
    <row r="30" spans="1:6" x14ac:dyDescent="0.3">
      <c r="A30" s="38" t="s">
        <v>80</v>
      </c>
      <c r="B30" s="31" t="s">
        <v>81</v>
      </c>
      <c r="C30" s="32"/>
      <c r="D30" s="32"/>
      <c r="E30" s="32" t="s">
        <v>82</v>
      </c>
      <c r="F30" s="33"/>
    </row>
    <row r="31" spans="1:6" x14ac:dyDescent="0.3">
      <c r="A31" s="38" t="s">
        <v>83</v>
      </c>
      <c r="B31" s="31" t="s">
        <v>84</v>
      </c>
      <c r="C31" s="32"/>
      <c r="D31" s="32"/>
      <c r="E31" s="32" t="s">
        <v>85</v>
      </c>
      <c r="F31" s="33"/>
    </row>
    <row r="32" spans="1:6" x14ac:dyDescent="0.3">
      <c r="A32" s="40" t="s">
        <v>86</v>
      </c>
      <c r="B32" s="40"/>
      <c r="C32" s="40"/>
      <c r="D32" s="40"/>
      <c r="E32" s="40"/>
      <c r="F32" s="40"/>
    </row>
    <row r="33" spans="1:6" x14ac:dyDescent="0.3">
      <c r="A33" s="62" t="s">
        <v>87</v>
      </c>
      <c r="B33" s="62"/>
      <c r="C33" s="62"/>
      <c r="D33" s="62"/>
      <c r="E33" s="62"/>
      <c r="F33" s="62"/>
    </row>
    <row r="34" spans="1:6" x14ac:dyDescent="0.3">
      <c r="A34" s="38" t="s">
        <v>88</v>
      </c>
      <c r="B34" s="38" t="s">
        <v>89</v>
      </c>
      <c r="C34" s="38" t="s">
        <v>90</v>
      </c>
      <c r="D34" s="38" t="s">
        <v>91</v>
      </c>
      <c r="E34" s="38" t="s">
        <v>92</v>
      </c>
      <c r="F34" s="38" t="s">
        <v>93</v>
      </c>
    </row>
    <row r="35" spans="1:6" x14ac:dyDescent="0.3">
      <c r="A35" s="38" t="s">
        <v>94</v>
      </c>
      <c r="B35" s="38">
        <v>550</v>
      </c>
      <c r="C35" s="38">
        <v>990</v>
      </c>
      <c r="D35" s="38">
        <v>1100</v>
      </c>
      <c r="E35" s="38">
        <v>1375</v>
      </c>
      <c r="F35" s="38">
        <v>1650</v>
      </c>
    </row>
    <row r="36" spans="1:6" x14ac:dyDescent="0.3">
      <c r="A36" s="38" t="s">
        <v>95</v>
      </c>
      <c r="B36" s="38">
        <v>825</v>
      </c>
      <c r="C36" s="38">
        <v>1210</v>
      </c>
      <c r="D36" s="38">
        <v>1375</v>
      </c>
      <c r="E36" s="38">
        <v>1650</v>
      </c>
      <c r="F36" s="38">
        <v>1925</v>
      </c>
    </row>
    <row r="37" spans="1:6" x14ac:dyDescent="0.3">
      <c r="A37" s="38" t="s">
        <v>96</v>
      </c>
      <c r="B37" s="38">
        <v>1100</v>
      </c>
      <c r="C37" s="38">
        <v>1650</v>
      </c>
      <c r="D37" s="38">
        <v>1925</v>
      </c>
      <c r="E37" s="38">
        <v>2200</v>
      </c>
      <c r="F37" s="38">
        <v>2750</v>
      </c>
    </row>
    <row r="38" spans="1:6" x14ac:dyDescent="0.3">
      <c r="A38" s="38" t="s">
        <v>97</v>
      </c>
      <c r="B38" s="38">
        <v>1375</v>
      </c>
      <c r="C38" s="38">
        <v>1925</v>
      </c>
      <c r="D38" s="38">
        <v>2200</v>
      </c>
      <c r="E38" s="38">
        <v>2475</v>
      </c>
      <c r="F38" s="38">
        <v>3300</v>
      </c>
    </row>
    <row r="39" spans="1:6" x14ac:dyDescent="0.3">
      <c r="A39" s="38" t="s">
        <v>98</v>
      </c>
      <c r="B39" s="38">
        <v>1650</v>
      </c>
      <c r="C39" s="38">
        <v>2200</v>
      </c>
      <c r="D39" s="38">
        <v>2750</v>
      </c>
      <c r="E39" s="38">
        <v>3300</v>
      </c>
      <c r="F39" s="38">
        <v>3960</v>
      </c>
    </row>
    <row r="40" spans="1:6" x14ac:dyDescent="0.3">
      <c r="A40" s="38" t="s">
        <v>99</v>
      </c>
      <c r="B40" s="38">
        <v>1925</v>
      </c>
      <c r="C40" s="38">
        <v>2500</v>
      </c>
      <c r="D40" s="38">
        <v>3150</v>
      </c>
      <c r="E40" s="38">
        <v>3800</v>
      </c>
      <c r="F40" s="38">
        <v>4560</v>
      </c>
    </row>
    <row r="41" spans="1:6" x14ac:dyDescent="0.3">
      <c r="A41" s="38" t="s">
        <v>100</v>
      </c>
      <c r="B41" s="38">
        <v>2200</v>
      </c>
      <c r="C41" s="38">
        <v>2800</v>
      </c>
      <c r="D41" s="38">
        <v>3550</v>
      </c>
      <c r="E41" s="38">
        <v>4300</v>
      </c>
      <c r="F41" s="38">
        <v>5160</v>
      </c>
    </row>
    <row r="42" spans="1:6" x14ac:dyDescent="0.3">
      <c r="A42" s="38" t="s">
        <v>101</v>
      </c>
      <c r="B42" s="38">
        <v>2475</v>
      </c>
      <c r="C42" s="38">
        <v>3100</v>
      </c>
      <c r="D42" s="38">
        <v>3950</v>
      </c>
      <c r="E42" s="38">
        <v>4800</v>
      </c>
      <c r="F42" s="38">
        <v>5760</v>
      </c>
    </row>
    <row r="43" spans="1:6" x14ac:dyDescent="0.3">
      <c r="A43" s="38" t="s">
        <v>102</v>
      </c>
      <c r="B43" s="38">
        <v>2750</v>
      </c>
      <c r="C43" s="38">
        <v>3400</v>
      </c>
      <c r="D43" s="38">
        <v>4350</v>
      </c>
      <c r="E43" s="38">
        <v>5300</v>
      </c>
      <c r="F43" s="38">
        <v>6360</v>
      </c>
    </row>
    <row r="44" spans="1:6" x14ac:dyDescent="0.3">
      <c r="A44" s="38" t="s">
        <v>103</v>
      </c>
      <c r="B44" s="38">
        <v>3025</v>
      </c>
      <c r="C44" s="38">
        <v>3700</v>
      </c>
      <c r="D44" s="38">
        <v>4750</v>
      </c>
      <c r="E44" s="38">
        <v>5800</v>
      </c>
      <c r="F44" s="38">
        <v>6960</v>
      </c>
    </row>
    <row r="45" spans="1:6" x14ac:dyDescent="0.3">
      <c r="A45" s="40" t="s">
        <v>104</v>
      </c>
      <c r="B45" s="40"/>
      <c r="C45" s="40"/>
      <c r="D45" s="40"/>
      <c r="E45" s="40"/>
      <c r="F45" s="40"/>
    </row>
    <row r="46" spans="1:6" x14ac:dyDescent="0.3">
      <c r="A46" s="63" t="s">
        <v>105</v>
      </c>
      <c r="B46" s="63"/>
      <c r="C46" s="63"/>
      <c r="D46" s="63"/>
      <c r="E46" s="63"/>
      <c r="F46" s="63"/>
    </row>
    <row r="47" spans="1:6" x14ac:dyDescent="0.3">
      <c r="A47" s="63" t="s">
        <v>106</v>
      </c>
      <c r="B47" s="63"/>
      <c r="C47" s="63"/>
      <c r="D47" s="63"/>
      <c r="E47" s="63"/>
      <c r="F47" s="63"/>
    </row>
    <row r="48" spans="1:6" x14ac:dyDescent="0.3">
      <c r="A48" s="63" t="s">
        <v>107</v>
      </c>
      <c r="B48" s="63"/>
      <c r="C48" s="63"/>
      <c r="D48" s="63"/>
      <c r="E48" s="63"/>
      <c r="F48" s="63"/>
    </row>
    <row r="49" spans="1:6" x14ac:dyDescent="0.3">
      <c r="A49" s="63" t="s">
        <v>108</v>
      </c>
      <c r="B49" s="63"/>
      <c r="C49" s="63"/>
      <c r="D49" s="63"/>
      <c r="E49" s="63"/>
      <c r="F49" s="63"/>
    </row>
    <row r="50" spans="1:6" x14ac:dyDescent="0.3">
      <c r="A50" s="63" t="s">
        <v>109</v>
      </c>
      <c r="B50" s="63"/>
      <c r="C50" s="63"/>
      <c r="D50" s="63"/>
      <c r="E50" s="63"/>
      <c r="F50" s="63"/>
    </row>
    <row r="51" spans="1:6" x14ac:dyDescent="0.3">
      <c r="A51" s="63" t="s">
        <v>110</v>
      </c>
      <c r="B51" s="63"/>
      <c r="C51" s="63"/>
      <c r="D51" s="63"/>
      <c r="E51" s="63"/>
      <c r="F51" s="63"/>
    </row>
    <row r="52" spans="1:6" x14ac:dyDescent="0.3">
      <c r="A52" s="63" t="s">
        <v>111</v>
      </c>
      <c r="B52" s="63"/>
      <c r="C52" s="63"/>
      <c r="D52" s="63"/>
      <c r="E52" s="63"/>
      <c r="F52" s="63"/>
    </row>
    <row r="53" spans="1:6" x14ac:dyDescent="0.3">
      <c r="A53" s="64" t="s">
        <v>112</v>
      </c>
      <c r="B53" s="64"/>
      <c r="C53" s="64"/>
      <c r="D53" s="64"/>
      <c r="E53" s="64"/>
      <c r="F53" s="64"/>
    </row>
    <row r="54" spans="1:6" x14ac:dyDescent="0.3">
      <c r="A54" s="64" t="s">
        <v>113</v>
      </c>
      <c r="B54" s="64"/>
      <c r="C54" s="64"/>
      <c r="D54" s="64"/>
      <c r="E54" s="64"/>
      <c r="F54" s="64"/>
    </row>
  </sheetData>
  <mergeCells count="41">
    <mergeCell ref="A49:F49"/>
    <mergeCell ref="A50:F50"/>
    <mergeCell ref="A51:F51"/>
    <mergeCell ref="A52:F52"/>
    <mergeCell ref="B13:F13"/>
    <mergeCell ref="A32:F32"/>
    <mergeCell ref="A33:F33"/>
    <mergeCell ref="A45:F45"/>
    <mergeCell ref="A46:F46"/>
    <mergeCell ref="A47:F47"/>
    <mergeCell ref="A48:F48"/>
    <mergeCell ref="B28:F28"/>
    <mergeCell ref="B29:F29"/>
    <mergeCell ref="B30:D30"/>
    <mergeCell ref="E30:F30"/>
    <mergeCell ref="B31:D31"/>
    <mergeCell ref="E31:F31"/>
    <mergeCell ref="B22:F22"/>
    <mergeCell ref="B23:F23"/>
    <mergeCell ref="B24:F24"/>
    <mergeCell ref="B25:F25"/>
    <mergeCell ref="B26:F26"/>
    <mergeCell ref="B27:F27"/>
    <mergeCell ref="B15:F15"/>
    <mergeCell ref="B16:F17"/>
    <mergeCell ref="B18:F18"/>
    <mergeCell ref="B19:F19"/>
    <mergeCell ref="B20:F20"/>
    <mergeCell ref="B21:F21"/>
    <mergeCell ref="B8:F8"/>
    <mergeCell ref="B9:F9"/>
    <mergeCell ref="B10:F10"/>
    <mergeCell ref="B11:F11"/>
    <mergeCell ref="B12:F12"/>
    <mergeCell ref="A14:F14"/>
    <mergeCell ref="A1:F1"/>
    <mergeCell ref="H1:M1"/>
    <mergeCell ref="B4:F4"/>
    <mergeCell ref="A5:F5"/>
    <mergeCell ref="A6:F6"/>
    <mergeCell ref="B7:F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860A6-BADB-42B6-9D3D-688EB39584A8}">
  <dimension ref="A1:E2"/>
  <sheetViews>
    <sheetView tabSelected="1" workbookViewId="0">
      <selection activeCell="E15" sqref="E15"/>
    </sheetView>
  </sheetViews>
  <sheetFormatPr defaultRowHeight="14.4" x14ac:dyDescent="0.3"/>
  <cols>
    <col min="1" max="1" width="25.44140625" customWidth="1"/>
    <col min="2" max="2" width="24" customWidth="1"/>
    <col min="3" max="3" width="28" customWidth="1"/>
    <col min="4" max="4" width="25.33203125" customWidth="1"/>
    <col min="5" max="5" width="34.109375" customWidth="1"/>
  </cols>
  <sheetData>
    <row r="1" spans="1:5" ht="15" thickBot="1" x14ac:dyDescent="0.35">
      <c r="A1" s="65" t="s">
        <v>114</v>
      </c>
      <c r="B1" s="66" t="s">
        <v>115</v>
      </c>
      <c r="C1" s="66" t="s">
        <v>116</v>
      </c>
      <c r="D1" s="66" t="s">
        <v>117</v>
      </c>
      <c r="E1" s="66" t="s">
        <v>118</v>
      </c>
    </row>
    <row r="2" spans="1:5" ht="58.2" thickBot="1" x14ac:dyDescent="0.35">
      <c r="A2" s="67" t="s">
        <v>119</v>
      </c>
      <c r="B2" s="68" t="s">
        <v>120</v>
      </c>
      <c r="C2" s="68" t="s">
        <v>121</v>
      </c>
      <c r="D2" s="68" t="s">
        <v>122</v>
      </c>
      <c r="E2" s="68" t="s">
        <v>123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Domestic Priority</vt:lpstr>
      <vt:lpstr>Air </vt:lpstr>
      <vt:lpstr>Air Zones</vt:lpstr>
    </vt:vector>
  </TitlesOfParts>
  <Company>DHL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Vinu James (DHL eCom Blue Dart IN)</dc:creator>
  <cp:lastModifiedBy>Vinu James (DHL eCom Blue Dart IN)</cp:lastModifiedBy>
  <dcterms:created xsi:type="dcterms:W3CDTF">2026-08-04T09:11:40Z</dcterms:created>
  <dcterms:modified xsi:type="dcterms:W3CDTF">2026-08-04T09:27:28Z</dcterms:modified>
</cp:coreProperties>
</file>